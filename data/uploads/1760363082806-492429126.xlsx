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ifi\Downloads\"/>
    </mc:Choice>
  </mc:AlternateContent>
  <xr:revisionPtr revIDLastSave="0" documentId="13_ncr:1_{086FA91A-CE88-4C0C-AAB9-E00C73BC9819}" xr6:coauthVersionLast="47" xr6:coauthVersionMax="47" xr10:uidLastSave="{00000000-0000-0000-0000-000000000000}"/>
  <bookViews>
    <workbookView xWindow="-120" yWindow="-120" windowWidth="20730" windowHeight="11040" firstSheet="18" activeTab="22" xr2:uid="{00000000-000D-0000-FFFF-FFFF00000000}"/>
  </bookViews>
  <sheets>
    <sheet name="satker q" sheetId="4" state="hidden" r:id="rId1"/>
    <sheet name="SATKER" sheetId="13" r:id="rId2"/>
    <sheet name="BABEK" sheetId="16" r:id="rId3"/>
    <sheet name="PUSKES" sheetId="17" r:id="rId4"/>
    <sheet name="PUSPSI" sheetId="18" r:id="rId5"/>
    <sheet name="BAIS" sheetId="19" r:id="rId6"/>
    <sheet name="MAKO AKADEMI" sheetId="20" r:id="rId7"/>
    <sheet name="PUSKU" sheetId="21" r:id="rId8"/>
    <sheet name="PUSPEN" sheetId="22" r:id="rId9"/>
    <sheet name="PUSDALOPS" sheetId="23" r:id="rId10"/>
    <sheet name="PASPAMPRES" sheetId="24" r:id="rId11"/>
    <sheet name="PUSJIANSTRA" sheetId="25" r:id="rId12"/>
    <sheet name="SETUM" sheetId="26" r:id="rId13"/>
    <sheet name="BABINKUM" sheetId="27" r:id="rId14"/>
    <sheet name="PUSBINTAL" sheetId="29" r:id="rId15"/>
    <sheet name="PUSKERSIN" sheetId="28" r:id="rId16"/>
    <sheet name="PUSPOM" sheetId="30" r:id="rId17"/>
    <sheet name="PUSJAS" sheetId="31" r:id="rId18"/>
    <sheet name="SATSIBER" sheetId="32" r:id="rId19"/>
    <sheet name="GARTAP I" sheetId="33" r:id="rId20"/>
    <sheet name="PUSINFORMAR" sheetId="34" r:id="rId21"/>
    <sheet name="KOGABWILHAN III" sheetId="35" r:id="rId22"/>
    <sheet name="REKAP LAPSIKAS" sheetId="36" r:id="rId23"/>
    <sheet name="WILAYAH" sheetId="6" state="hidden" r:id="rId24"/>
    <sheet name="UO" sheetId="8" state="hidden" r:id="rId25"/>
    <sheet name="KEMHAN DAN TNI" sheetId="7" state="hidden" r:id="rId26"/>
    <sheet name="CONTOH" sheetId="10" state="hidden" r:id="rId27"/>
    <sheet name="wilayah (2)" sheetId="11" state="hidden" r:id="rId28"/>
    <sheet name="UO (2)" sheetId="12" state="hidden" r:id="rId29"/>
  </sheets>
  <definedNames>
    <definedName name="_xlnm.Print_Area" localSheetId="25">'KEMHAN DAN TNI'!$A$1:$U$51</definedName>
    <definedName name="_xlnm.Print_Area" localSheetId="22">'REKAP LAPSIKAS'!$A$1:$M$79</definedName>
    <definedName name="_xlnm.Print_Area" localSheetId="1">SATKER!$A$1:$M$36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3" i="36" l="1"/>
  <c r="M13" i="27"/>
  <c r="M37" i="36"/>
  <c r="E30" i="36" l="1"/>
  <c r="D49" i="36" l="1"/>
  <c r="E49" i="36"/>
  <c r="F49" i="36"/>
  <c r="G49" i="36"/>
  <c r="H49" i="36"/>
  <c r="I49" i="36"/>
  <c r="J49" i="36"/>
  <c r="K49" i="36"/>
  <c r="L49" i="36"/>
  <c r="C49" i="36"/>
  <c r="D45" i="36"/>
  <c r="E45" i="36"/>
  <c r="F45" i="36"/>
  <c r="G45" i="36"/>
  <c r="H45" i="36"/>
  <c r="I45" i="36"/>
  <c r="M44" i="36" s="1"/>
  <c r="J45" i="36"/>
  <c r="K45" i="36"/>
  <c r="L45" i="36"/>
  <c r="D46" i="36"/>
  <c r="E46" i="36"/>
  <c r="F46" i="36"/>
  <c r="G46" i="36"/>
  <c r="H46" i="36"/>
  <c r="I46" i="36"/>
  <c r="J46" i="36"/>
  <c r="K46" i="36"/>
  <c r="L46" i="36"/>
  <c r="C46" i="36"/>
  <c r="C45" i="36"/>
  <c r="D39" i="36"/>
  <c r="E39" i="36"/>
  <c r="F39" i="36"/>
  <c r="G39" i="36"/>
  <c r="H39" i="36"/>
  <c r="I39" i="36"/>
  <c r="M38" i="36" s="1"/>
  <c r="J39" i="36"/>
  <c r="K39" i="36"/>
  <c r="L39" i="36"/>
  <c r="D40" i="36"/>
  <c r="E40" i="36"/>
  <c r="F40" i="36"/>
  <c r="G40" i="36"/>
  <c r="H40" i="36"/>
  <c r="I40" i="36"/>
  <c r="J40" i="36"/>
  <c r="K40" i="36"/>
  <c r="L40" i="36"/>
  <c r="D41" i="36"/>
  <c r="E41" i="36"/>
  <c r="F41" i="36"/>
  <c r="G41" i="36"/>
  <c r="H41" i="36"/>
  <c r="I41" i="36"/>
  <c r="J41" i="36"/>
  <c r="K41" i="36"/>
  <c r="L41" i="36"/>
  <c r="D42" i="36"/>
  <c r="E42" i="36"/>
  <c r="F42" i="36"/>
  <c r="G42" i="36"/>
  <c r="H42" i="36"/>
  <c r="I42" i="36"/>
  <c r="J42" i="36"/>
  <c r="K42" i="36"/>
  <c r="L42" i="36"/>
  <c r="C42" i="36"/>
  <c r="C41" i="36"/>
  <c r="C40" i="36"/>
  <c r="C39" i="36"/>
  <c r="D34" i="36"/>
  <c r="E34" i="36"/>
  <c r="F34" i="36"/>
  <c r="G34" i="36"/>
  <c r="H34" i="36"/>
  <c r="I34" i="36"/>
  <c r="J34" i="36"/>
  <c r="K34" i="36"/>
  <c r="L34" i="36"/>
  <c r="D35" i="36"/>
  <c r="E35" i="36"/>
  <c r="F35" i="36"/>
  <c r="G35" i="36"/>
  <c r="H35" i="36"/>
  <c r="I35" i="36"/>
  <c r="J35" i="36"/>
  <c r="K35" i="36"/>
  <c r="L35" i="36"/>
  <c r="D36" i="36"/>
  <c r="E36" i="36"/>
  <c r="F36" i="36"/>
  <c r="G36" i="36"/>
  <c r="H36" i="36"/>
  <c r="I36" i="36"/>
  <c r="J36" i="36"/>
  <c r="K36" i="36"/>
  <c r="L36" i="36"/>
  <c r="C36" i="36"/>
  <c r="C35" i="36"/>
  <c r="C34" i="36"/>
  <c r="D30" i="36"/>
  <c r="F30" i="36"/>
  <c r="G30" i="36"/>
  <c r="H30" i="36"/>
  <c r="I30" i="36"/>
  <c r="J30" i="36"/>
  <c r="K30" i="36"/>
  <c r="L30" i="36"/>
  <c r="D31" i="36"/>
  <c r="E31" i="36"/>
  <c r="F31" i="36"/>
  <c r="G31" i="36"/>
  <c r="H31" i="36"/>
  <c r="I31" i="36"/>
  <c r="J31" i="36"/>
  <c r="K31" i="36"/>
  <c r="L31" i="36"/>
  <c r="C31" i="36"/>
  <c r="C30" i="36"/>
  <c r="D24" i="36"/>
  <c r="E24" i="36"/>
  <c r="F24" i="36"/>
  <c r="G24" i="36"/>
  <c r="H24" i="36"/>
  <c r="I24" i="36"/>
  <c r="J24" i="36"/>
  <c r="K24" i="36"/>
  <c r="L24" i="36"/>
  <c r="D25" i="36"/>
  <c r="E25" i="36"/>
  <c r="F25" i="36"/>
  <c r="G25" i="36"/>
  <c r="H25" i="36"/>
  <c r="I25" i="36"/>
  <c r="J25" i="36"/>
  <c r="K25" i="36"/>
  <c r="L25" i="36"/>
  <c r="D26" i="36"/>
  <c r="E26" i="36"/>
  <c r="F26" i="36"/>
  <c r="G26" i="36"/>
  <c r="H26" i="36"/>
  <c r="I26" i="36"/>
  <c r="J26" i="36"/>
  <c r="K26" i="36"/>
  <c r="L26" i="36"/>
  <c r="D27" i="36"/>
  <c r="E27" i="36"/>
  <c r="F27" i="36"/>
  <c r="G27" i="36"/>
  <c r="H27" i="36"/>
  <c r="I27" i="36"/>
  <c r="J27" i="36"/>
  <c r="K27" i="36"/>
  <c r="L27" i="36"/>
  <c r="C27" i="36"/>
  <c r="C26" i="36"/>
  <c r="C25" i="36"/>
  <c r="C24" i="36"/>
  <c r="D21" i="36"/>
  <c r="E21" i="36"/>
  <c r="F21" i="36"/>
  <c r="G21" i="36"/>
  <c r="H21" i="36"/>
  <c r="I21" i="36"/>
  <c r="J21" i="36"/>
  <c r="K21" i="36"/>
  <c r="L21" i="36"/>
  <c r="C21" i="36"/>
  <c r="D18" i="36"/>
  <c r="E18" i="36"/>
  <c r="F18" i="36"/>
  <c r="G18" i="36"/>
  <c r="H18" i="36"/>
  <c r="I18" i="36"/>
  <c r="J18" i="36"/>
  <c r="K18" i="36"/>
  <c r="L18" i="36"/>
  <c r="C18" i="36"/>
  <c r="C17" i="36"/>
  <c r="D17" i="36"/>
  <c r="E17" i="36"/>
  <c r="F17" i="36"/>
  <c r="G17" i="36"/>
  <c r="H17" i="36"/>
  <c r="I17" i="36"/>
  <c r="J17" i="36"/>
  <c r="K17" i="36"/>
  <c r="L17" i="36"/>
  <c r="D14" i="36"/>
  <c r="E14" i="36"/>
  <c r="F14" i="36"/>
  <c r="G14" i="36"/>
  <c r="H14" i="36"/>
  <c r="I14" i="36"/>
  <c r="J14" i="36"/>
  <c r="K14" i="36"/>
  <c r="L14" i="36"/>
  <c r="C14" i="36"/>
  <c r="M24" i="35"/>
  <c r="M24" i="34"/>
  <c r="M24" i="27"/>
  <c r="M24" i="22"/>
  <c r="M24" i="20"/>
  <c r="M24" i="18"/>
  <c r="M24" i="17"/>
  <c r="M24" i="16"/>
  <c r="M24" i="32"/>
  <c r="M24" i="31"/>
  <c r="M24" i="30"/>
  <c r="M24" i="29"/>
  <c r="M24" i="25"/>
  <c r="M14" i="36" l="1"/>
  <c r="M17" i="36"/>
  <c r="M18" i="36"/>
  <c r="M21" i="36"/>
  <c r="M27" i="36"/>
  <c r="M26" i="36"/>
  <c r="M25" i="36"/>
  <c r="M24" i="36"/>
  <c r="M31" i="36"/>
  <c r="M30" i="36"/>
  <c r="M36" i="36"/>
  <c r="M35" i="36"/>
  <c r="M34" i="36"/>
  <c r="M42" i="36"/>
  <c r="M41" i="36"/>
  <c r="M40" i="36"/>
  <c r="M39" i="36"/>
  <c r="M46" i="36"/>
  <c r="M45" i="36"/>
  <c r="M49" i="36"/>
  <c r="M61" i="36" l="1"/>
  <c r="K12" i="24" l="1"/>
  <c r="K12" i="24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<sst xmlns="http://schemas.openxmlformats.org/spreadsheetml/2006/main" count="2167" uniqueCount="287">
  <si>
    <t>Peruntukan</t>
  </si>
  <si>
    <t>Kode</t>
  </si>
  <si>
    <t>Nama</t>
  </si>
  <si>
    <t>Nomor</t>
  </si>
  <si>
    <t>Bank</t>
  </si>
  <si>
    <t>UP</t>
  </si>
  <si>
    <t>TUP</t>
  </si>
  <si>
    <t>Tanggal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</si>
  <si>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</si>
  <si>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</si>
  <si>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</si>
  <si>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</si>
  <si>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</si>
  <si>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</si>
  <si>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</si>
  <si>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</si>
  <si>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</si>
  <si>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</si>
  <si>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</si>
  <si>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</si>
  <si>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KPA/PPSPM/Kepala Satuan Kerja</t>
  </si>
  <si>
    <t xml:space="preserve">Nama </t>
  </si>
  <si>
    <t>Pangkat NRP/NIP</t>
  </si>
  <si>
    <t>LAPORAN SISA KAS</t>
  </si>
  <si>
    <t>Nilai</t>
  </si>
  <si>
    <t>SP2D-Sisa</t>
  </si>
  <si>
    <t>Satker</t>
  </si>
  <si>
    <t>No</t>
  </si>
  <si>
    <t>Rekening</t>
  </si>
  <si>
    <t>Surat Persetujuan</t>
  </si>
  <si>
    <t>Tanggal Transaksi terakhir</t>
  </si>
  <si>
    <t>(15)</t>
  </si>
  <si>
    <t>(16)</t>
  </si>
  <si>
    <t>-</t>
  </si>
  <si>
    <t>Tanggal Transaksi Terakhir</t>
  </si>
  <si>
    <t>Karorenku Setjen Kemhan</t>
  </si>
  <si>
    <t>Rekening Rutin</t>
  </si>
  <si>
    <t>A</t>
  </si>
  <si>
    <t>B</t>
  </si>
  <si>
    <t>Nama Kontrak      Tgl. Berakhir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</si>
  <si>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</si>
  <si>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</si>
  <si>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</si>
  <si>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</si>
  <si>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</si>
  <si>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</si>
  <si>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</si>
  <si>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</si>
  <si>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</si>
  <si>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BPG 019 Puslapbinkuhan</t>
  </si>
  <si>
    <t>1230000000</t>
  </si>
  <si>
    <t>UP Tunai</t>
  </si>
  <si>
    <t>Bank xxx</t>
  </si>
  <si>
    <t>xx-xx-xxxx</t>
  </si>
  <si>
    <t>Kudam I BB</t>
  </si>
  <si>
    <t>a</t>
  </si>
  <si>
    <t>b</t>
  </si>
  <si>
    <t>1)</t>
  </si>
  <si>
    <t>2)</t>
  </si>
  <si>
    <t>Kudam II Swj</t>
  </si>
  <si>
    <t>xxxxxx</t>
  </si>
  <si>
    <t>LS Bendahara</t>
  </si>
  <si>
    <t>12</t>
  </si>
  <si>
    <t>13</t>
  </si>
  <si>
    <t>URAIAN</t>
  </si>
  <si>
    <t>RPL019 PDH 684044 untuk  zxxxxxx (Nomor Reg Hibah)</t>
  </si>
  <si>
    <t>S/     /xx/20xx</t>
  </si>
  <si>
    <t>Kepala Satuan Kerja</t>
  </si>
  <si>
    <t>Baranahan Kemhan</t>
  </si>
  <si>
    <t>Puslapbinkuhan Kemhan</t>
  </si>
  <si>
    <t>UO KEMHAN</t>
  </si>
  <si>
    <t>xxxxxxx</t>
  </si>
  <si>
    <t>UO MABES TNI</t>
  </si>
  <si>
    <t>UO TNI AD</t>
  </si>
  <si>
    <t>Mata Uang</t>
  </si>
  <si>
    <t>RPL019 KS Baranahan Kemhan untuk Kontrak DSME</t>
  </si>
  <si>
    <t>USD</t>
  </si>
  <si>
    <t>xxx.xxx</t>
  </si>
  <si>
    <t>IDR</t>
  </si>
  <si>
    <t>SATKER ……………………… (1)</t>
  </si>
  <si>
    <t>BULAN  ……..…………….. (2)</t>
  </si>
  <si>
    <t>Saldo Akhir Bank (5+6+7)</t>
  </si>
  <si>
    <t>Rekening Pemerintah Lainnya (Hibah,BLU dan Lainya)</t>
  </si>
  <si>
    <t>xxx.xxxx</t>
  </si>
  <si>
    <t>JUMLAH (15)</t>
  </si>
  <si>
    <t>dst</t>
  </si>
  <si>
    <t>RPL 019 KS Baranahan Kemhan untuk Kontrak DSME</t>
  </si>
  <si>
    <t>Rekening Pemerintah Lainnya (Hibah,BLU dan Lainnya)</t>
  </si>
  <si>
    <t>KOTAMA/WILAYAH ………………….. (1)</t>
  </si>
  <si>
    <t>BULAN …….…………….. (2)</t>
  </si>
  <si>
    <t>Paldam-I/BB</t>
  </si>
  <si>
    <t>Zidam-I/BB</t>
  </si>
  <si>
    <t>BPG xxx Paldam</t>
  </si>
  <si>
    <t>BPG xxx Zidam</t>
  </si>
  <si>
    <t>BPG 019 Baranahan</t>
  </si>
  <si>
    <t>dd-mm-yyyy</t>
  </si>
  <si>
    <t>Kaku kotama/Kaku Wilayah</t>
  </si>
  <si>
    <t>UO …………..…...(1)</t>
  </si>
  <si>
    <t>BULAN…………….. (2)</t>
  </si>
  <si>
    <t>Kudam I/BB</t>
  </si>
  <si>
    <t>Rindam-II/SWJ</t>
  </si>
  <si>
    <t>Paldam-II/SWJ</t>
  </si>
  <si>
    <t>BPG xxx Rindam</t>
  </si>
  <si>
    <t xml:space="preserve">Kapusku TNI/Kadis Angkatan </t>
  </si>
  <si>
    <t>Kudam II/Swj</t>
  </si>
  <si>
    <t>RPL 019 PDH xxxxx untuk  1234567</t>
  </si>
  <si>
    <t>RPL xxx PDH untuk  1234567</t>
  </si>
  <si>
    <t>RPL xxx PDH untuk  1234568</t>
  </si>
  <si>
    <t>RPL xxx PDH untuk 1234567</t>
  </si>
  <si>
    <t>BULAN………………..</t>
  </si>
  <si>
    <t>REKENING</t>
  </si>
  <si>
    <t>Saldo Akhir Bank (8+9+10)</t>
  </si>
  <si>
    <t>Ditjen Strahan Kemhan</t>
  </si>
  <si>
    <t>Jumlah</t>
  </si>
  <si>
    <t>Pangkat NIP/NRP</t>
  </si>
  <si>
    <t>BPG 019 xxxxx</t>
  </si>
  <si>
    <t>RPL 019 KS xxxx Untuk xxx</t>
  </si>
  <si>
    <t>RPL 019 PDH xxx Untuk 123456</t>
  </si>
  <si>
    <t>RPL 019 PDH xxx Untuk 123457</t>
  </si>
  <si>
    <t>KEMHAN DAN TNI</t>
  </si>
  <si>
    <t>BULAN…………….. (1)</t>
  </si>
  <si>
    <t>Baranahan</t>
  </si>
  <si>
    <t>Puslapbinkuhan</t>
  </si>
  <si>
    <t>Paldam I/BB</t>
  </si>
  <si>
    <t>Zidam I/BB</t>
  </si>
  <si>
    <t>Paldam II/SWJ</t>
  </si>
  <si>
    <t>Zidam II/SWJ</t>
  </si>
  <si>
    <t>Kudam II/SWJ</t>
  </si>
  <si>
    <t>UO TNI AL</t>
  </si>
  <si>
    <t>Satkor Koarmada II</t>
  </si>
  <si>
    <t>Koarmada II</t>
  </si>
  <si>
    <t>Satfib Koarmada II</t>
  </si>
  <si>
    <t>Kormar</t>
  </si>
  <si>
    <t>Lanmar Jakarta</t>
  </si>
  <si>
    <t>Pasmar I</t>
  </si>
  <si>
    <t>UO TNI AU</t>
  </si>
  <si>
    <t>Kotama Koopsau I</t>
  </si>
  <si>
    <t>Lanud Sultan Iskandar Muda</t>
  </si>
  <si>
    <t>Lanud Maimun Saleh</t>
  </si>
  <si>
    <t>(2)</t>
  </si>
  <si>
    <t>Puspen TNI</t>
  </si>
  <si>
    <t>BAIS TNI</t>
  </si>
  <si>
    <t>GUP</t>
  </si>
  <si>
    <t>RP</t>
  </si>
  <si>
    <t>Bendahara Pengeluaran,</t>
  </si>
  <si>
    <t>Pencairan Dana</t>
  </si>
  <si>
    <t>Pangkat/ NRP/NIP</t>
  </si>
  <si>
    <t>Kapuslapbinkuhan Kemhan,</t>
  </si>
  <si>
    <t xml:space="preserve">Jumlah              Sisa Kas </t>
  </si>
  <si>
    <t>JUMLAH (13)</t>
  </si>
  <si>
    <t>(17)</t>
  </si>
  <si>
    <t>JUMLAH (18)</t>
  </si>
  <si>
    <t>Uraian</t>
  </si>
  <si>
    <t>Persetujuan</t>
  </si>
  <si>
    <t>Saldo Akhir Bank</t>
  </si>
  <si>
    <t>15=8+9+10+11</t>
  </si>
  <si>
    <t>JUMLAH (17)</t>
  </si>
  <si>
    <t>Rp</t>
  </si>
  <si>
    <t>BPG xxx Baranahan</t>
  </si>
  <si>
    <t>RPL xxx PDH 684044 untuk  xxxxxxxx (Nomor Reg Hibah)</t>
  </si>
  <si>
    <t>RPL xxx KS Baranahan Kemhan untuk Kontrak DSME</t>
  </si>
  <si>
    <t>JUMLAH (16)</t>
  </si>
  <si>
    <t>Kaku Kotama/Kaku Wilayah</t>
  </si>
  <si>
    <t>Mata          Uang</t>
  </si>
  <si>
    <t>13=6+7+8+9</t>
  </si>
  <si>
    <t xml:space="preserve">Nomor </t>
  </si>
  <si>
    <t>Kapusku TNI/ Dirku/Kadisku Angkatan,</t>
  </si>
  <si>
    <t>Paku TNI Wilayah xxxx</t>
  </si>
  <si>
    <t>SATKER BABEK TNI</t>
  </si>
  <si>
    <t>SATKER PUSKES TNI</t>
  </si>
  <si>
    <t>SATKER PUSPSI TNI</t>
  </si>
  <si>
    <t>SATKER BAIS TNI</t>
  </si>
  <si>
    <t>SATKER MAKO AKADEMI TNI</t>
  </si>
  <si>
    <t>SATKER PUSKU TNI</t>
  </si>
  <si>
    <t>SATKER PUSPEN TNI</t>
  </si>
  <si>
    <t>SATKER PUSDALOPS TNI</t>
  </si>
  <si>
    <t xml:space="preserve">SATKER PASPAMPRES </t>
  </si>
  <si>
    <t>SATKER SETUM TNI</t>
  </si>
  <si>
    <t>SATKER BABINKUM TNI</t>
  </si>
  <si>
    <t>SATKER PUSBINTAL TNI</t>
  </si>
  <si>
    <t>SATKER PUSKERSIN TNI</t>
  </si>
  <si>
    <t>SATKER PUSPOM TNI</t>
  </si>
  <si>
    <t>SATKER PUSJAS TNI</t>
  </si>
  <si>
    <t>SATKER SATSIBER TNI</t>
  </si>
  <si>
    <t>SATKER KOGARTAP I/JKT</t>
  </si>
  <si>
    <t>SATKER PUSINFORMAR</t>
  </si>
  <si>
    <t>SATKER KOGABWILHAN III</t>
  </si>
  <si>
    <t>Kaku TNI Wilayah Papua III</t>
  </si>
  <si>
    <t>Paku TNI Wilayah XIII</t>
  </si>
  <si>
    <t>Paku TNI Wilayah XII</t>
  </si>
  <si>
    <t>Paku TNI Wilayah XI</t>
  </si>
  <si>
    <t>Paku TNI Wilayah X</t>
  </si>
  <si>
    <t>Paku TNI Wilayah IX</t>
  </si>
  <si>
    <t>Paku TNI Wilayah VIII</t>
  </si>
  <si>
    <t>Paku TNI Wilayah VII</t>
  </si>
  <si>
    <t>Paku TNI Wilayah VI</t>
  </si>
  <si>
    <t>BULAN  JULI</t>
  </si>
  <si>
    <t>BPG 088 Babinkum TNI</t>
  </si>
  <si>
    <t>Mandiri</t>
  </si>
  <si>
    <t>S-1794/WPB.12/KP,01/2020</t>
  </si>
  <si>
    <t>BULAN  JULI 2025</t>
  </si>
  <si>
    <t>BPG 088 SETUM TNI</t>
  </si>
  <si>
    <t>S-3034/WPB.12/KP.01/2020</t>
  </si>
  <si>
    <t>Tono Prasatyo, S.E</t>
  </si>
  <si>
    <t>Mayor Cku NRP 11010020930476</t>
  </si>
  <si>
    <t>BPG 088 Puspen TNI</t>
  </si>
  <si>
    <t>S-3034/WPB,12/KP,01/2020</t>
  </si>
  <si>
    <t>I Wayan Eka Sunartha, S.E., M.M.</t>
  </si>
  <si>
    <t>Letkol Cku NRP 11040002431276</t>
  </si>
  <si>
    <t>BULAN JULI 2025</t>
  </si>
  <si>
    <t>BPG 088 Pusku TNI</t>
  </si>
  <si>
    <t>I Wayan Eka Sunartha, S.E., M.M</t>
  </si>
  <si>
    <t>BPG 088 Pusdalops TNI</t>
  </si>
  <si>
    <t>S-3034/wpb,12/kp.01/2020</t>
  </si>
  <si>
    <t>BPG 088 PUSKES TNI</t>
  </si>
  <si>
    <t>000313</t>
  </si>
  <si>
    <t>Yulianis, S.E.</t>
  </si>
  <si>
    <t>Mayor Cku (K) NRP 21940142760971</t>
  </si>
  <si>
    <t>BPG 088 PUSPSI TNI</t>
  </si>
  <si>
    <t>S-3573/KPN.1201/2022</t>
  </si>
  <si>
    <t>BPG 088 Akademi TNI</t>
  </si>
  <si>
    <t>BPG 019 PASPAMPRES</t>
  </si>
  <si>
    <t>M. Iwan Fakhrudin, S.E., M.Tr. Opsla</t>
  </si>
  <si>
    <t>Letkol Laut (S) NRP 17789/P</t>
  </si>
  <si>
    <t>BPG 019 PUSJIANSTRA TNI</t>
  </si>
  <si>
    <t>BPG 088 PUSBINTAL TNI</t>
  </si>
  <si>
    <t>MANDIRI</t>
  </si>
  <si>
    <t>Rono Prasetyo, S.E.</t>
  </si>
  <si>
    <t>BPG 686527 Puskersin TNI</t>
  </si>
  <si>
    <t>Irwansyah, S.E.</t>
  </si>
  <si>
    <t>Letkol Laut (S) NRP 13526/P</t>
  </si>
  <si>
    <t>BPG 684182 Puspom TNI</t>
  </si>
  <si>
    <t>Irwansyah, S.E</t>
  </si>
  <si>
    <t>BPG 686521 PUSJASPERMILDAS TNI</t>
  </si>
  <si>
    <t>000318</t>
  </si>
  <si>
    <t>Letkol Laut (S) NRP 1352/P</t>
  </si>
  <si>
    <t>BPG 417650 Satsiber TNI</t>
  </si>
  <si>
    <t>BPG 086 BABEK TNI</t>
  </si>
  <si>
    <t>000311</t>
  </si>
  <si>
    <t>NIHIL</t>
  </si>
  <si>
    <t>Luqman Hakim</t>
  </si>
  <si>
    <t>Mayor Cku NRP 21960362020574</t>
  </si>
  <si>
    <t>BPG 019 KOGARTAP I JKT</t>
  </si>
  <si>
    <t>Iwan Setiawan, S.E.</t>
  </si>
  <si>
    <t>Mayor Cku NRP 11030005171076</t>
  </si>
  <si>
    <t>BPG 018 PUSINFORMAR TNI</t>
  </si>
  <si>
    <t xml:space="preserve">Mandiri </t>
  </si>
  <si>
    <t>S-522/WPB.12/KP.01/2021</t>
  </si>
  <si>
    <t>BPG 019 Bais TNI</t>
  </si>
  <si>
    <t>Dading Yudis H, S.E., M.Ap., M.Tr. Opsla</t>
  </si>
  <si>
    <t>Mayor Laut (S) NRp 18760/P</t>
  </si>
  <si>
    <t xml:space="preserve"> </t>
  </si>
  <si>
    <t>SATKER PUSJIANSTRA TNI</t>
  </si>
  <si>
    <t>BPG 141 KOGABWILHAN III</t>
  </si>
  <si>
    <t>Eko Sugiarto, S.E., M.Si., C.Fr.A</t>
  </si>
  <si>
    <t>Kolonel Laut (S) NRP 12929/P</t>
  </si>
  <si>
    <t>PAKU VI</t>
  </si>
  <si>
    <t>PAKU VII</t>
  </si>
  <si>
    <t xml:space="preserve">  Puskes TNI</t>
  </si>
  <si>
    <t xml:space="preserve">  Puspsi</t>
  </si>
  <si>
    <t>PAKU VIII</t>
  </si>
  <si>
    <t xml:space="preserve">  Bais TNI</t>
  </si>
  <si>
    <t>PAKU IX</t>
  </si>
  <si>
    <t xml:space="preserve">  Pusku TNI</t>
  </si>
  <si>
    <t xml:space="preserve">  Mako Akademi TNI</t>
  </si>
  <si>
    <t xml:space="preserve">  Puspen TNI</t>
  </si>
  <si>
    <t xml:space="preserve">  Pusdalops TNI</t>
  </si>
  <si>
    <t>PAKU X</t>
  </si>
  <si>
    <t xml:space="preserve">  Paspampres</t>
  </si>
  <si>
    <t xml:space="preserve">  Pusjianstra TNI</t>
  </si>
  <si>
    <t>PAKU XI</t>
  </si>
  <si>
    <t xml:space="preserve">  Babinkum TNI</t>
  </si>
  <si>
    <t xml:space="preserve">  Setum TNI</t>
  </si>
  <si>
    <t xml:space="preserve">  Pusbintal TNI</t>
  </si>
  <si>
    <t>PAKU XII</t>
  </si>
  <si>
    <t xml:space="preserve">  Pusjaspermildas TNI</t>
  </si>
  <si>
    <t xml:space="preserve">  Puskersin TNI</t>
  </si>
  <si>
    <t xml:space="preserve">  Pom TNI</t>
  </si>
  <si>
    <t xml:space="preserve">  Satsiber TNI</t>
  </si>
  <si>
    <t>PAKU XIII</t>
  </si>
  <si>
    <t xml:space="preserve">  Kogartap I/Jkt</t>
  </si>
  <si>
    <t>PAPUA III</t>
  </si>
  <si>
    <t xml:space="preserve">  Kogabwilhan III</t>
  </si>
  <si>
    <t xml:space="preserve">  Babek TNI</t>
  </si>
  <si>
    <t xml:space="preserve">  Pusinfomar</t>
  </si>
  <si>
    <t>SATKER LAYANAN KUPUS II</t>
  </si>
  <si>
    <t>Rupiah Murni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</si>
</sst>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Rp&quot;* #,##0_-;\-&quot;Rp&quot;* #,##0_-;_-&quot;Rp&quot;* &quot;-&quot;_-;_-@_-"/>
    <numFmt numFmtId="43" formatCode="_-* #,##0.00_-;\-* #,##0.00_-;_-* &quot;-&quot;??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-* #,##0_-;\-* #,##0_-;_-* &quot;-&quot;??_-;_-@_-"/>
    <numFmt numFmtId="167" formatCode="yyyy\-mm\-dd;@"/>
    <numFmt numFmtId="168" formatCode="&quot;Rp&quot;#,##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165" fontId="4" fillId="0" borderId="0" applyFont="0" applyFill="0" applyBorder="0" applyAlignment="0" applyProtection="0"/>
    <xf numFmtId="0" fontId="5" fillId="0" borderId="0"/>
    <xf numFmtId="43" fontId="4" fillId="0" borderId="0" applyFont="0" applyFill="0" applyBorder="0" applyAlignment="0" applyProtection="0"/>
  </cellStyleXfs>
  <cellXfs count="483">
    <xf numFmtId="0" fontId="0" fillId="0" borderId="0" xfId="0"/>
    <xf numFmtId="0" fontId="1" fillId="0" borderId="0" xfId="0" applyFont="1"/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9" xfId="0" quotePrefix="1" applyFont="1" applyBorder="1" applyAlignment="1">
      <alignment horizontal="center"/>
    </xf>
    <xf numFmtId="0" fontId="3" fillId="0" borderId="0" xfId="0" applyFont="1"/>
    <xf numFmtId="0" fontId="1" fillId="0" borderId="11" xfId="0" applyFont="1" applyBorder="1"/>
    <xf numFmtId="0" fontId="1" fillId="0" borderId="13" xfId="0" applyFont="1" applyBorder="1"/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14" xfId="0" applyFont="1" applyBorder="1"/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3" fillId="0" borderId="8" xfId="0" applyFont="1" applyBorder="1" applyAlignment="1">
      <alignment horizontal="center" wrapText="1"/>
    </xf>
    <xf numFmtId="0" fontId="1" fillId="0" borderId="1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3" fillId="0" borderId="9" xfId="0" applyFont="1" applyBorder="1" applyAlignment="1">
      <alignment horizontal="center" wrapText="1"/>
    </xf>
    <xf numFmtId="0" fontId="1" fillId="0" borderId="11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8" xfId="0" quotePrefix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quotePrefix="1" applyFont="1" applyBorder="1" applyAlignment="1">
      <alignment vertical="center"/>
    </xf>
    <xf numFmtId="165" fontId="1" fillId="0" borderId="11" xfId="1" applyFont="1" applyBorder="1" applyAlignment="1">
      <alignment horizontal="right" vertical="center"/>
    </xf>
    <xf numFmtId="165" fontId="1" fillId="0" borderId="11" xfId="1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/>
    </xf>
    <xf numFmtId="0" fontId="2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quotePrefix="1" applyFont="1" applyBorder="1" applyAlignment="1">
      <alignment horizontal="center" vertical="center"/>
    </xf>
    <xf numFmtId="0" fontId="1" fillId="0" borderId="11" xfId="0" quotePrefix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quotePrefix="1" applyFont="1" applyBorder="1" applyAlignment="1">
      <alignment horizontal="center" vertical="center"/>
    </xf>
    <xf numFmtId="0" fontId="3" fillId="0" borderId="13" xfId="0" quotePrefix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1" fillId="0" borderId="13" xfId="0" applyFont="1" applyBorder="1" applyAlignment="1">
      <alignment wrapText="1"/>
    </xf>
    <xf numFmtId="165" fontId="1" fillId="0" borderId="11" xfId="1" applyFont="1" applyBorder="1" applyAlignment="1">
      <alignment horizontal="center" vertical="center"/>
    </xf>
    <xf numFmtId="165" fontId="1" fillId="0" borderId="11" xfId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5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6" xfId="0" quotePrefix="1" applyFont="1" applyBorder="1" applyAlignment="1">
      <alignment horizontal="center" vertical="center"/>
    </xf>
    <xf numFmtId="165" fontId="1" fillId="0" borderId="6" xfId="1" applyFont="1" applyBorder="1" applyAlignment="1">
      <alignment horizontal="right" vertical="center"/>
    </xf>
    <xf numFmtId="165" fontId="1" fillId="0" borderId="6" xfId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/>
    </xf>
    <xf numFmtId="0" fontId="1" fillId="0" borderId="9" xfId="0" quotePrefix="1" applyFont="1" applyBorder="1" applyAlignment="1">
      <alignment horizontal="center" vertical="center"/>
    </xf>
    <xf numFmtId="165" fontId="1" fillId="0" borderId="9" xfId="1" applyFont="1" applyBorder="1" applyAlignment="1">
      <alignment horizontal="right" vertical="center"/>
    </xf>
    <xf numFmtId="165" fontId="1" fillId="0" borderId="9" xfId="1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165" fontId="1" fillId="0" borderId="5" xfId="1" applyFont="1" applyBorder="1" applyAlignment="1">
      <alignment horizontal="right" vertical="center"/>
    </xf>
    <xf numFmtId="165" fontId="1" fillId="0" borderId="5" xfId="1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3" xfId="0" quotePrefix="1" applyFont="1" applyBorder="1" applyAlignment="1">
      <alignment horizontal="center" vertical="center"/>
    </xf>
    <xf numFmtId="165" fontId="1" fillId="0" borderId="13" xfId="1" applyFont="1" applyBorder="1" applyAlignment="1">
      <alignment horizontal="right" vertical="center"/>
    </xf>
    <xf numFmtId="165" fontId="1" fillId="0" borderId="13" xfId="1" applyFont="1" applyBorder="1" applyAlignment="1">
      <alignment horizontal="right" vertical="center" wrapText="1"/>
    </xf>
    <xf numFmtId="0" fontId="1" fillId="0" borderId="13" xfId="0" applyFont="1" applyBorder="1" applyAlignment="1">
      <alignment horizontal="righ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6" fillId="0" borderId="11" xfId="2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/>
    </xf>
    <xf numFmtId="0" fontId="1" fillId="0" borderId="3" xfId="0" quotePrefix="1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3" xfId="0" quotePrefix="1" applyFont="1" applyBorder="1" applyAlignment="1">
      <alignment horizontal="center" vertical="center" wrapText="1"/>
    </xf>
    <xf numFmtId="0" fontId="1" fillId="0" borderId="4" xfId="0" quotePrefix="1" applyFont="1" applyBorder="1" applyAlignment="1">
      <alignment horizontal="center" vertical="center"/>
    </xf>
    <xf numFmtId="0" fontId="7" fillId="0" borderId="11" xfId="2" applyFont="1" applyBorder="1"/>
    <xf numFmtId="0" fontId="1" fillId="0" borderId="6" xfId="0" applyFont="1" applyBorder="1"/>
    <xf numFmtId="0" fontId="3" fillId="0" borderId="8" xfId="0" applyFont="1" applyBorder="1" applyAlignment="1">
      <alignment horizontal="center" vertical="center"/>
    </xf>
    <xf numFmtId="0" fontId="1" fillId="0" borderId="10" xfId="0" applyFont="1" applyBorder="1"/>
    <xf numFmtId="0" fontId="7" fillId="0" borderId="11" xfId="2" applyFont="1" applyBorder="1" applyAlignment="1">
      <alignment vertical="top"/>
    </xf>
    <xf numFmtId="0" fontId="6" fillId="0" borderId="0" xfId="0" applyFont="1" applyAlignment="1">
      <alignment horizontal="center"/>
    </xf>
    <xf numFmtId="0" fontId="6" fillId="0" borderId="0" xfId="0" applyFont="1"/>
    <xf numFmtId="0" fontId="9" fillId="0" borderId="0" xfId="0" applyFont="1" applyAlignment="1">
      <alignment horizontal="center" vertical="top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9" fillId="0" borderId="13" xfId="0" quotePrefix="1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13" xfId="0" applyFont="1" applyBorder="1"/>
    <xf numFmtId="0" fontId="9" fillId="0" borderId="11" xfId="0" quotePrefix="1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1" xfId="0" applyFont="1" applyBorder="1"/>
    <xf numFmtId="0" fontId="9" fillId="0" borderId="11" xfId="0" quotePrefix="1" applyFont="1" applyBorder="1" applyAlignment="1">
      <alignment horizontal="center"/>
    </xf>
    <xf numFmtId="0" fontId="9" fillId="0" borderId="0" xfId="0" applyFont="1"/>
    <xf numFmtId="0" fontId="6" fillId="0" borderId="11" xfId="0" quotePrefix="1" applyFont="1" applyBorder="1" applyAlignment="1">
      <alignment horizontal="center"/>
    </xf>
    <xf numFmtId="0" fontId="6" fillId="0" borderId="11" xfId="0" applyFont="1" applyBorder="1"/>
    <xf numFmtId="0" fontId="6" fillId="0" borderId="11" xfId="0" quotePrefix="1" applyFont="1" applyBorder="1" applyAlignment="1">
      <alignment horizontal="center" vertical="top"/>
    </xf>
    <xf numFmtId="0" fontId="6" fillId="0" borderId="11" xfId="0" applyFont="1" applyBorder="1" applyAlignment="1">
      <alignment vertical="top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/>
    </xf>
    <xf numFmtId="0" fontId="9" fillId="0" borderId="11" xfId="0" applyFont="1" applyBorder="1" applyAlignment="1">
      <alignment wrapText="1"/>
    </xf>
    <xf numFmtId="0" fontId="6" fillId="0" borderId="11" xfId="0" applyFont="1" applyBorder="1" applyAlignment="1">
      <alignment horizontal="center"/>
    </xf>
    <xf numFmtId="0" fontId="6" fillId="0" borderId="1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0" borderId="9" xfId="0" applyFont="1" applyBorder="1"/>
    <xf numFmtId="0" fontId="6" fillId="0" borderId="15" xfId="0" applyFont="1" applyBorder="1" applyAlignment="1">
      <alignment horizontal="center"/>
    </xf>
    <xf numFmtId="0" fontId="6" fillId="0" borderId="15" xfId="0" applyFont="1" applyBorder="1"/>
    <xf numFmtId="0" fontId="9" fillId="0" borderId="0" xfId="0" applyFont="1" applyAlignment="1">
      <alignment wrapText="1"/>
    </xf>
    <xf numFmtId="0" fontId="6" fillId="0" borderId="14" xfId="0" applyFont="1" applyBorder="1" applyAlignment="1">
      <alignment horizontal="center"/>
    </xf>
    <xf numFmtId="0" fontId="9" fillId="0" borderId="14" xfId="0" applyFont="1" applyBorder="1" applyAlignment="1">
      <alignment wrapText="1"/>
    </xf>
    <xf numFmtId="0" fontId="6" fillId="0" borderId="14" xfId="0" applyFont="1" applyBorder="1"/>
    <xf numFmtId="0" fontId="6" fillId="0" borderId="6" xfId="0" applyFont="1" applyBorder="1" applyAlignment="1">
      <alignment horizontal="center"/>
    </xf>
    <xf numFmtId="0" fontId="9" fillId="0" borderId="6" xfId="0" applyFont="1" applyBorder="1" applyAlignment="1">
      <alignment wrapText="1"/>
    </xf>
    <xf numFmtId="0" fontId="6" fillId="0" borderId="6" xfId="0" applyFont="1" applyBorder="1"/>
    <xf numFmtId="0" fontId="6" fillId="0" borderId="11" xfId="0" quotePrefix="1" applyFont="1" applyBorder="1" applyAlignment="1">
      <alignment horizontal="center" vertical="center"/>
    </xf>
    <xf numFmtId="0" fontId="6" fillId="0" borderId="11" xfId="0" quotePrefix="1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0" fillId="0" borderId="1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8" xfId="0" quotePrefix="1" applyFont="1" applyBorder="1" applyAlignment="1">
      <alignment horizontal="center"/>
    </xf>
    <xf numFmtId="0" fontId="10" fillId="0" borderId="9" xfId="0" quotePrefix="1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6" fillId="0" borderId="9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5" xfId="0" applyFont="1" applyBorder="1" applyAlignment="1">
      <alignment wrapText="1"/>
    </xf>
    <xf numFmtId="0" fontId="6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3" xfId="0" quotePrefix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6" xfId="0" quotePrefix="1" applyFont="1" applyBorder="1" applyAlignment="1">
      <alignment horizontal="center" vertical="center"/>
    </xf>
    <xf numFmtId="165" fontId="6" fillId="0" borderId="6" xfId="1" applyFont="1" applyBorder="1" applyAlignment="1">
      <alignment horizontal="right" vertical="center"/>
    </xf>
    <xf numFmtId="165" fontId="6" fillId="0" borderId="6" xfId="1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/>
    </xf>
    <xf numFmtId="0" fontId="6" fillId="0" borderId="10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165" fontId="6" fillId="0" borderId="11" xfId="1" applyFont="1" applyBorder="1" applyAlignment="1">
      <alignment horizontal="right" vertical="center"/>
    </xf>
    <xf numFmtId="165" fontId="6" fillId="0" borderId="11" xfId="1" applyFont="1" applyBorder="1" applyAlignment="1">
      <alignment horizontal="right" vertical="center" wrapText="1"/>
    </xf>
    <xf numFmtId="0" fontId="6" fillId="0" borderId="11" xfId="0" applyFont="1" applyBorder="1" applyAlignment="1">
      <alignment horizontal="right" vertical="center"/>
    </xf>
    <xf numFmtId="0" fontId="6" fillId="0" borderId="9" xfId="0" quotePrefix="1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11" xfId="0" applyFont="1" applyBorder="1" applyAlignment="1">
      <alignment vertical="center" wrapText="1"/>
    </xf>
    <xf numFmtId="165" fontId="6" fillId="0" borderId="11" xfId="1" applyFont="1" applyBorder="1" applyAlignment="1">
      <alignment horizontal="center" vertical="center"/>
    </xf>
    <xf numFmtId="165" fontId="6" fillId="0" borderId="11" xfId="1" applyFont="1" applyBorder="1" applyAlignment="1">
      <alignment horizontal="center" vertical="center" wrapText="1"/>
    </xf>
    <xf numFmtId="0" fontId="6" fillId="0" borderId="11" xfId="0" quotePrefix="1" applyFont="1" applyBorder="1" applyAlignment="1">
      <alignment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0" xfId="0" applyFont="1" applyBorder="1"/>
    <xf numFmtId="0" fontId="6" fillId="0" borderId="12" xfId="0" applyFont="1" applyBorder="1"/>
    <xf numFmtId="0" fontId="6" fillId="0" borderId="6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6" fillId="0" borderId="8" xfId="0" applyFont="1" applyBorder="1" applyAlignment="1">
      <alignment horizontal="center"/>
    </xf>
    <xf numFmtId="0" fontId="9" fillId="0" borderId="5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13" xfId="0" applyFont="1" applyBorder="1"/>
    <xf numFmtId="0" fontId="10" fillId="0" borderId="13" xfId="0" applyFont="1" applyBorder="1" applyAlignment="1">
      <alignment horizontal="center" vertical="center"/>
    </xf>
    <xf numFmtId="0" fontId="10" fillId="0" borderId="13" xfId="0" quotePrefix="1" applyFont="1" applyBorder="1" applyAlignment="1">
      <alignment horizontal="center" vertical="center"/>
    </xf>
    <xf numFmtId="0" fontId="10" fillId="0" borderId="13" xfId="0" quotePrefix="1" applyFont="1" applyBorder="1" applyAlignment="1">
      <alignment horizontal="center" vertical="center" wrapText="1"/>
    </xf>
    <xf numFmtId="0" fontId="10" fillId="0" borderId="8" xfId="0" quotePrefix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3" xfId="0" applyFont="1" applyBorder="1" applyAlignment="1">
      <alignment horizontal="center"/>
    </xf>
    <xf numFmtId="0" fontId="10" fillId="0" borderId="9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6" fillId="0" borderId="6" xfId="0" quotePrefix="1" applyFont="1" applyBorder="1" applyAlignment="1">
      <alignment horizontal="center"/>
    </xf>
    <xf numFmtId="0" fontId="6" fillId="0" borderId="9" xfId="0" quotePrefix="1" applyFont="1" applyBorder="1" applyAlignment="1">
      <alignment horizontal="center" vertical="center" wrapText="1"/>
    </xf>
    <xf numFmtId="0" fontId="6" fillId="0" borderId="0" xfId="0" quotePrefix="1" applyFont="1" applyAlignment="1">
      <alignment horizontal="center" vertical="center"/>
    </xf>
    <xf numFmtId="0" fontId="6" fillId="0" borderId="9" xfId="0" quotePrefix="1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10" fillId="0" borderId="9" xfId="0" quotePrefix="1" applyFont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center"/>
    </xf>
    <xf numFmtId="0" fontId="6" fillId="0" borderId="7" xfId="0" quotePrefix="1" applyFont="1" applyBorder="1" applyAlignment="1">
      <alignment horizontal="center"/>
    </xf>
    <xf numFmtId="0" fontId="6" fillId="0" borderId="7" xfId="0" applyFont="1" applyBorder="1"/>
    <xf numFmtId="0" fontId="6" fillId="0" borderId="3" xfId="0" applyFont="1" applyBorder="1"/>
    <xf numFmtId="0" fontId="6" fillId="0" borderId="8" xfId="0" applyFont="1" applyBorder="1"/>
    <xf numFmtId="0" fontId="6" fillId="0" borderId="4" xfId="0" applyFont="1" applyBorder="1"/>
    <xf numFmtId="0" fontId="6" fillId="0" borderId="0" xfId="0" quotePrefix="1" applyFont="1" applyAlignment="1">
      <alignment horizontal="center"/>
    </xf>
    <xf numFmtId="0" fontId="10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wrapText="1"/>
      <protection locked="0"/>
    </xf>
    <xf numFmtId="0" fontId="9" fillId="0" borderId="0" xfId="0" applyFont="1" applyAlignment="1" applyProtection="1">
      <alignment horizontal="center" vertical="top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 applyProtection="1">
      <alignment horizontal="center" vertical="center" wrapText="1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10" fillId="0" borderId="13" xfId="0" quotePrefix="1" applyFont="1" applyBorder="1" applyAlignment="1" applyProtection="1">
      <alignment horizontal="center" vertical="center"/>
      <protection locked="0"/>
    </xf>
    <xf numFmtId="0" fontId="10" fillId="0" borderId="13" xfId="0" quotePrefix="1" applyFont="1" applyBorder="1" applyAlignment="1" applyProtection="1">
      <alignment horizontal="center" vertical="center" wrapText="1"/>
      <protection locked="0"/>
    </xf>
    <xf numFmtId="0" fontId="10" fillId="0" borderId="0" xfId="0" quotePrefix="1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 wrapText="1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6" fillId="0" borderId="11" xfId="0" quotePrefix="1" applyFont="1" applyBorder="1" applyAlignment="1" applyProtection="1">
      <alignment horizontal="center" vertical="center"/>
      <protection locked="0"/>
    </xf>
    <xf numFmtId="165" fontId="6" fillId="0" borderId="11" xfId="1" applyFont="1" applyBorder="1" applyAlignment="1" applyProtection="1">
      <alignment horizontal="right" vertical="center"/>
      <protection locked="0"/>
    </xf>
    <xf numFmtId="165" fontId="6" fillId="0" borderId="11" xfId="1" applyFont="1" applyBorder="1" applyAlignment="1" applyProtection="1">
      <alignment horizontal="right" vertical="center" wrapText="1"/>
      <protection locked="0"/>
    </xf>
    <xf numFmtId="0" fontId="6" fillId="0" borderId="11" xfId="0" applyFont="1" applyBorder="1" applyAlignment="1" applyProtection="1">
      <alignment horizontal="right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vertical="center" wrapText="1"/>
      <protection locked="0"/>
    </xf>
    <xf numFmtId="0" fontId="9" fillId="0" borderId="11" xfId="0" applyFont="1" applyBorder="1" applyAlignment="1" applyProtection="1">
      <alignment vertical="center" wrapText="1"/>
      <protection locked="0"/>
    </xf>
    <xf numFmtId="0" fontId="6" fillId="0" borderId="11" xfId="0" applyFont="1" applyBorder="1" applyAlignment="1" applyProtection="1">
      <alignment vertical="center" wrapText="1"/>
      <protection locked="0"/>
    </xf>
    <xf numFmtId="165" fontId="6" fillId="0" borderId="11" xfId="1" applyFont="1" applyBorder="1" applyAlignment="1" applyProtection="1">
      <alignment horizontal="center" vertical="center"/>
      <protection locked="0"/>
    </xf>
    <xf numFmtId="165" fontId="6" fillId="0" borderId="11" xfId="1" applyFont="1" applyBorder="1" applyAlignment="1" applyProtection="1">
      <alignment horizontal="center" vertical="center" wrapText="1"/>
      <protection locked="0"/>
    </xf>
    <xf numFmtId="0" fontId="6" fillId="0" borderId="11" xfId="0" quotePrefix="1" applyFont="1" applyBorder="1" applyAlignment="1" applyProtection="1">
      <alignment vertical="center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6" fillId="0" borderId="11" xfId="0" quotePrefix="1" applyFont="1" applyBorder="1" applyAlignment="1" applyProtection="1">
      <alignment horizontal="center" vertical="center" wrapText="1"/>
      <protection locked="0"/>
    </xf>
    <xf numFmtId="0" fontId="6" fillId="0" borderId="0" xfId="0" quotePrefix="1" applyFont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6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6" fillId="0" borderId="13" xfId="0" applyFont="1" applyBorder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2" fontId="6" fillId="0" borderId="11" xfId="0" quotePrefix="1" applyNumberFormat="1" applyFont="1" applyBorder="1" applyAlignment="1">
      <alignment horizontal="center" vertical="center"/>
    </xf>
    <xf numFmtId="1" fontId="6" fillId="0" borderId="11" xfId="0" quotePrefix="1" applyNumberFormat="1" applyFont="1" applyBorder="1" applyAlignment="1">
      <alignment horizontal="center" vertical="center"/>
    </xf>
    <xf numFmtId="14" fontId="6" fillId="0" borderId="11" xfId="1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2" fontId="9" fillId="0" borderId="11" xfId="0" applyNumberFormat="1" applyFont="1" applyBorder="1" applyAlignment="1">
      <alignment vertical="center" wrapText="1"/>
    </xf>
    <xf numFmtId="2" fontId="6" fillId="0" borderId="11" xfId="0" quotePrefix="1" applyNumberFormat="1" applyFont="1" applyBorder="1" applyAlignment="1">
      <alignment vertical="center"/>
    </xf>
    <xf numFmtId="14" fontId="6" fillId="0" borderId="6" xfId="0" applyNumberFormat="1" applyFont="1" applyBorder="1" applyAlignment="1">
      <alignment vertical="center"/>
    </xf>
    <xf numFmtId="14" fontId="6" fillId="0" borderId="11" xfId="1" applyNumberFormat="1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vertical="center"/>
    </xf>
    <xf numFmtId="1" fontId="9" fillId="0" borderId="11" xfId="0" applyNumberFormat="1" applyFont="1" applyBorder="1" applyAlignment="1">
      <alignment vertical="center" wrapText="1"/>
    </xf>
    <xf numFmtId="1" fontId="6" fillId="0" borderId="11" xfId="0" quotePrefix="1" applyNumberFormat="1" applyFont="1" applyBorder="1" applyAlignment="1">
      <alignment vertical="center"/>
    </xf>
    <xf numFmtId="165" fontId="6" fillId="0" borderId="11" xfId="0" applyNumberFormat="1" applyFont="1" applyBorder="1" applyAlignment="1">
      <alignment horizontal="right" vertical="center"/>
    </xf>
    <xf numFmtId="2" fontId="6" fillId="0" borderId="11" xfId="1" applyNumberFormat="1" applyFont="1" applyBorder="1" applyAlignment="1">
      <alignment horizontal="right" vertical="center"/>
    </xf>
    <xf numFmtId="2" fontId="6" fillId="0" borderId="11" xfId="1" applyNumberFormat="1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1" fontId="6" fillId="0" borderId="11" xfId="1" quotePrefix="1" applyNumberFormat="1" applyFont="1" applyBorder="1" applyAlignment="1">
      <alignment horizontal="right" vertical="center"/>
    </xf>
    <xf numFmtId="1" fontId="6" fillId="0" borderId="6" xfId="0" applyNumberFormat="1" applyFont="1" applyBorder="1" applyAlignment="1" applyProtection="1">
      <alignment vertical="center"/>
      <protection locked="0"/>
    </xf>
    <xf numFmtId="1" fontId="6" fillId="0" borderId="11" xfId="0" quotePrefix="1" applyNumberFormat="1" applyFont="1" applyBorder="1" applyAlignment="1" applyProtection="1">
      <alignment horizontal="center" vertical="center"/>
      <protection locked="0"/>
    </xf>
    <xf numFmtId="1" fontId="9" fillId="0" borderId="11" xfId="0" applyNumberFormat="1" applyFont="1" applyBorder="1" applyAlignment="1" applyProtection="1">
      <alignment vertical="center" wrapText="1"/>
      <protection locked="0"/>
    </xf>
    <xf numFmtId="1" fontId="6" fillId="0" borderId="11" xfId="0" quotePrefix="1" applyNumberFormat="1" applyFont="1" applyBorder="1" applyAlignment="1" applyProtection="1">
      <alignment vertical="center"/>
      <protection locked="0"/>
    </xf>
    <xf numFmtId="14" fontId="6" fillId="0" borderId="6" xfId="0" applyNumberFormat="1" applyFont="1" applyBorder="1" applyAlignment="1" applyProtection="1">
      <alignment vertical="center"/>
      <protection locked="0"/>
    </xf>
    <xf numFmtId="14" fontId="6" fillId="0" borderId="11" xfId="1" applyNumberFormat="1" applyFont="1" applyBorder="1" applyAlignment="1" applyProtection="1">
      <alignment horizontal="right" vertical="center"/>
      <protection locked="0"/>
    </xf>
    <xf numFmtId="14" fontId="6" fillId="0" borderId="11" xfId="1" applyNumberFormat="1" applyFont="1" applyBorder="1" applyAlignment="1" applyProtection="1">
      <alignment horizontal="center" vertical="center"/>
      <protection locked="0"/>
    </xf>
    <xf numFmtId="14" fontId="6" fillId="0" borderId="11" xfId="0" applyNumberFormat="1" applyFont="1" applyBorder="1" applyAlignment="1" applyProtection="1">
      <alignment horizontal="center" vertical="center"/>
      <protection locked="0"/>
    </xf>
    <xf numFmtId="165" fontId="6" fillId="0" borderId="12" xfId="1" applyFont="1" applyBorder="1" applyAlignment="1">
      <alignment horizontal="center" vertical="center"/>
    </xf>
    <xf numFmtId="165" fontId="6" fillId="0" borderId="10" xfId="1" applyFont="1" applyBorder="1" applyAlignment="1">
      <alignment horizontal="center" vertical="center"/>
    </xf>
    <xf numFmtId="1" fontId="6" fillId="0" borderId="11" xfId="1" applyNumberFormat="1" applyFont="1" applyBorder="1" applyAlignment="1">
      <alignment horizontal="right" vertical="center" wrapText="1"/>
    </xf>
    <xf numFmtId="1" fontId="6" fillId="0" borderId="11" xfId="1" applyNumberFormat="1" applyFont="1" applyBorder="1" applyAlignment="1">
      <alignment horizontal="center" vertical="center" wrapText="1"/>
    </xf>
    <xf numFmtId="1" fontId="6" fillId="0" borderId="11" xfId="0" applyNumberFormat="1" applyFont="1" applyBorder="1" applyAlignment="1">
      <alignment vertical="center" wrapText="1"/>
    </xf>
    <xf numFmtId="1" fontId="6" fillId="0" borderId="11" xfId="0" applyNumberFormat="1" applyFont="1" applyBorder="1" applyAlignment="1">
      <alignment horizontal="center" vertical="center" wrapText="1"/>
    </xf>
    <xf numFmtId="166" fontId="6" fillId="0" borderId="11" xfId="3" applyNumberFormat="1" applyFont="1" applyBorder="1" applyAlignment="1">
      <alignment horizontal="right" vertical="center" wrapText="1"/>
    </xf>
    <xf numFmtId="165" fontId="6" fillId="0" borderId="11" xfId="1" quotePrefix="1" applyFont="1" applyBorder="1" applyAlignment="1">
      <alignment horizontal="right" vertical="center"/>
    </xf>
    <xf numFmtId="167" fontId="6" fillId="0" borderId="6" xfId="0" applyNumberFormat="1" applyFont="1" applyBorder="1" applyAlignment="1">
      <alignment vertical="center"/>
    </xf>
    <xf numFmtId="167" fontId="6" fillId="0" borderId="11" xfId="1" applyNumberFormat="1" applyFont="1" applyBorder="1" applyAlignment="1">
      <alignment horizontal="right" vertical="center"/>
    </xf>
    <xf numFmtId="167" fontId="6" fillId="0" borderId="11" xfId="1" applyNumberFormat="1" applyFont="1" applyBorder="1" applyAlignment="1">
      <alignment horizontal="center" vertical="center"/>
    </xf>
    <xf numFmtId="166" fontId="6" fillId="0" borderId="11" xfId="3" applyNumberFormat="1" applyFont="1" applyFill="1" applyBorder="1" applyAlignment="1">
      <alignment horizontal="right" vertical="center"/>
    </xf>
    <xf numFmtId="165" fontId="6" fillId="0" borderId="6" xfId="0" applyNumberFormat="1" applyFont="1" applyBorder="1"/>
    <xf numFmtId="42" fontId="6" fillId="0" borderId="6" xfId="0" applyNumberFormat="1" applyFont="1" applyBorder="1"/>
    <xf numFmtId="42" fontId="6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wrapText="1"/>
    </xf>
    <xf numFmtId="0" fontId="13" fillId="0" borderId="0" xfId="0" applyFont="1" applyAlignment="1">
      <alignment horizontal="center" vertical="top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3" xfId="0" quotePrefix="1" applyFont="1" applyBorder="1" applyAlignment="1">
      <alignment horizontal="center" vertical="center"/>
    </xf>
    <xf numFmtId="0" fontId="12" fillId="0" borderId="13" xfId="0" quotePrefix="1" applyFont="1" applyBorder="1" applyAlignment="1">
      <alignment horizontal="center" vertical="center" wrapText="1"/>
    </xf>
    <xf numFmtId="0" fontId="12" fillId="0" borderId="0" xfId="0" quotePrefix="1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1" fontId="12" fillId="0" borderId="6" xfId="0" applyNumberFormat="1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164" fontId="12" fillId="0" borderId="6" xfId="0" applyNumberFormat="1" applyFont="1" applyBorder="1" applyAlignment="1">
      <alignment vertical="center"/>
    </xf>
    <xf numFmtId="164" fontId="12" fillId="0" borderId="6" xfId="0" applyNumberFormat="1" applyFont="1" applyBorder="1" applyAlignment="1">
      <alignment vertical="center" wrapText="1"/>
    </xf>
    <xf numFmtId="14" fontId="12" fillId="0" borderId="6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1" fontId="12" fillId="0" borderId="11" xfId="0" quotePrefix="1" applyNumberFormat="1" applyFont="1" applyBorder="1" applyAlignment="1">
      <alignment horizontal="center" vertical="center"/>
    </xf>
    <xf numFmtId="164" fontId="12" fillId="0" borderId="11" xfId="1" applyNumberFormat="1" applyFont="1" applyBorder="1" applyAlignment="1">
      <alignment horizontal="right" vertical="center"/>
    </xf>
    <xf numFmtId="164" fontId="12" fillId="0" borderId="11" xfId="1" applyNumberFormat="1" applyFont="1" applyBorder="1" applyAlignment="1">
      <alignment horizontal="right" vertical="center" wrapText="1"/>
    </xf>
    <xf numFmtId="165" fontId="12" fillId="0" borderId="11" xfId="1" applyFont="1" applyBorder="1" applyAlignment="1">
      <alignment horizontal="right" vertical="center"/>
    </xf>
    <xf numFmtId="14" fontId="12" fillId="0" borderId="11" xfId="1" applyNumberFormat="1" applyFont="1" applyBorder="1" applyAlignment="1">
      <alignment horizontal="right" vertical="center"/>
    </xf>
    <xf numFmtId="164" fontId="12" fillId="0" borderId="11" xfId="0" applyNumberFormat="1" applyFont="1" applyBorder="1" applyAlignment="1">
      <alignment horizontal="right" vertical="center"/>
    </xf>
    <xf numFmtId="164" fontId="12" fillId="0" borderId="11" xfId="0" quotePrefix="1" applyNumberFormat="1" applyFont="1" applyBorder="1" applyAlignment="1">
      <alignment horizontal="center" vertical="center"/>
    </xf>
    <xf numFmtId="164" fontId="12" fillId="0" borderId="11" xfId="1" quotePrefix="1" applyNumberFormat="1" applyFont="1" applyBorder="1" applyAlignment="1">
      <alignment horizontal="center" vertical="center"/>
    </xf>
    <xf numFmtId="14" fontId="12" fillId="0" borderId="11" xfId="0" quotePrefix="1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vertical="center" wrapText="1"/>
    </xf>
    <xf numFmtId="1" fontId="13" fillId="0" borderId="11" xfId="0" applyNumberFormat="1" applyFont="1" applyBorder="1" applyAlignment="1">
      <alignment vertical="center" wrapText="1"/>
    </xf>
    <xf numFmtId="0" fontId="13" fillId="0" borderId="11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164" fontId="12" fillId="0" borderId="11" xfId="1" applyNumberFormat="1" applyFont="1" applyBorder="1" applyAlignment="1">
      <alignment horizontal="center" vertical="center"/>
    </xf>
    <xf numFmtId="164" fontId="12" fillId="0" borderId="11" xfId="1" applyNumberFormat="1" applyFont="1" applyBorder="1" applyAlignment="1">
      <alignment horizontal="center" vertical="center" wrapText="1"/>
    </xf>
    <xf numFmtId="165" fontId="12" fillId="0" borderId="11" xfId="1" applyFont="1" applyBorder="1" applyAlignment="1">
      <alignment horizontal="center" vertical="center"/>
    </xf>
    <xf numFmtId="14" fontId="12" fillId="0" borderId="11" xfId="1" applyNumberFormat="1" applyFont="1" applyBorder="1" applyAlignment="1">
      <alignment horizontal="center" vertical="center"/>
    </xf>
    <xf numFmtId="1" fontId="12" fillId="0" borderId="11" xfId="0" quotePrefix="1" applyNumberFormat="1" applyFont="1" applyBorder="1" applyAlignment="1">
      <alignment vertical="center"/>
    </xf>
    <xf numFmtId="0" fontId="12" fillId="0" borderId="11" xfId="0" quotePrefix="1" applyFont="1" applyBorder="1" applyAlignment="1">
      <alignment vertical="center"/>
    </xf>
    <xf numFmtId="0" fontId="12" fillId="0" borderId="11" xfId="0" applyFont="1" applyBorder="1" applyAlignment="1">
      <alignment horizontal="center" vertical="center" wrapText="1"/>
    </xf>
    <xf numFmtId="164" fontId="12" fillId="0" borderId="11" xfId="0" applyNumberFormat="1" applyFont="1" applyBorder="1" applyAlignment="1">
      <alignment vertical="center"/>
    </xf>
    <xf numFmtId="0" fontId="12" fillId="0" borderId="11" xfId="0" quotePrefix="1" applyFont="1" applyBorder="1" applyAlignment="1">
      <alignment horizontal="center" vertical="center"/>
    </xf>
    <xf numFmtId="0" fontId="12" fillId="0" borderId="11" xfId="0" quotePrefix="1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/>
    </xf>
    <xf numFmtId="0" fontId="12" fillId="0" borderId="6" xfId="0" applyFont="1" applyBorder="1"/>
    <xf numFmtId="168" fontId="12" fillId="0" borderId="6" xfId="0" applyNumberFormat="1" applyFont="1" applyBorder="1"/>
    <xf numFmtId="0" fontId="12" fillId="0" borderId="9" xfId="0" applyFont="1" applyBorder="1"/>
    <xf numFmtId="0" fontId="12" fillId="0" borderId="13" xfId="0" applyFont="1" applyBorder="1"/>
    <xf numFmtId="165" fontId="6" fillId="0" borderId="11" xfId="0" quotePrefix="1" applyNumberFormat="1" applyFont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9" fillId="0" borderId="0" xfId="0" applyFont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 applyProtection="1">
      <alignment horizontal="center" vertical="top"/>
      <protection locked="0"/>
    </xf>
    <xf numFmtId="0" fontId="9" fillId="0" borderId="14" xfId="0" applyFont="1" applyBorder="1" applyAlignment="1" applyProtection="1">
      <alignment horizontal="center" vertical="top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2" fontId="6" fillId="0" borderId="6" xfId="0" applyNumberFormat="1" applyFont="1" applyBorder="1" applyAlignment="1">
      <alignment horizontal="center"/>
    </xf>
    <xf numFmtId="2" fontId="6" fillId="0" borderId="9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13" fillId="0" borderId="14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quotePrefix="1" applyFont="1" applyBorder="1" applyAlignment="1">
      <alignment horizontal="center" vertical="center" wrapText="1"/>
    </xf>
    <xf numFmtId="0" fontId="6" fillId="0" borderId="9" xfId="0" quotePrefix="1" applyFont="1" applyBorder="1" applyAlignment="1">
      <alignment horizontal="center" vertical="center" wrapText="1"/>
    </xf>
    <xf numFmtId="0" fontId="6" fillId="0" borderId="6" xfId="0" quotePrefix="1" applyFont="1" applyBorder="1" applyAlignment="1">
      <alignment horizontal="center" vertical="center"/>
    </xf>
    <xf numFmtId="0" fontId="6" fillId="0" borderId="9" xfId="0" quotePrefix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</cellXfs>
  <cellStyles count="4">
    <cellStyle name="Comma" xfId="3" builtinId="3"/>
    <cellStyle name="Comma [0]" xfId="1" builtinId="6"/>
    <cellStyle name="Normal" xfId="0" builtinId="0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676275</xdr:colOff>
      <xdr:row>0</xdr:row>
      <xdr:rowOff>0</xdr:rowOff>
    </xdr:from>
    <xdr:to>
      <xdr:col>16</xdr:col>
      <xdr:colOff>447675</xdr:colOff>
      <xdr:row>4</xdr:row>
      <xdr:rowOff>71967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9534525" y="0"/>
          <a:ext cx="3343275" cy="7958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 I  Surat xxxxxxxxxx</a:t>
          </a: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        /xxxxxxxxxxxxxx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                                           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793750</xdr:colOff>
      <xdr:row>3</xdr:row>
      <xdr:rowOff>63500</xdr:rowOff>
    </xdr:from>
    <xdr:to>
      <xdr:col>12</xdr:col>
      <xdr:colOff>790750</xdr:colOff>
      <xdr:row>3</xdr:row>
      <xdr:rowOff>63500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22BDD2E-6E90-F74E-50AF-9057491D53F4}"/>
            </a:ext>
          </a:extLst>
        </xdr:cNvPr>
        <xdr:cNvCxnSpPr/>
      </xdr:nvCxnSpPr>
      <xdr:spPr>
        <a:xfrm>
          <a:off x="9604375" y="587375"/>
          <a:ext cx="2664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828675</xdr:colOff>
      <xdr:row>0</xdr:row>
      <xdr:rowOff>0</xdr:rowOff>
    </xdr:from>
    <xdr:to>
      <xdr:col>18</xdr:col>
      <xdr:colOff>59055</xdr:colOff>
      <xdr:row>4</xdr:row>
      <xdr:rowOff>71967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4BD4006-F535-4BD5-8B33-A451A13102D3}"/>
            </a:ext>
          </a:extLst>
        </xdr:cNvPr>
        <xdr:cNvSpPr/>
      </xdr:nvSpPr>
      <xdr:spPr>
        <a:xfrm>
          <a:off x="10285095" y="0"/>
          <a:ext cx="6713220" cy="8034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 </a:t>
          </a:r>
          <a:r>
            <a:rPr lang="id-ID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Surat Paku TNI Wilayah VI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/ 109 / IX / 2025</a:t>
          </a:r>
          <a:endParaRPr lang="en-US" sz="1100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 12 September 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915670</xdr:colOff>
      <xdr:row>3</xdr:row>
      <xdr:rowOff>2540</xdr:rowOff>
    </xdr:from>
    <xdr:to>
      <xdr:col>12</xdr:col>
      <xdr:colOff>1705150</xdr:colOff>
      <xdr:row>3</xdr:row>
      <xdr:rowOff>2540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9CB3C96-AE5D-43D6-8DB2-E5D264478A63}"/>
            </a:ext>
          </a:extLst>
        </xdr:cNvPr>
        <xdr:cNvCxnSpPr/>
      </xdr:nvCxnSpPr>
      <xdr:spPr>
        <a:xfrm>
          <a:off x="10372090" y="551180"/>
          <a:ext cx="35174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843915</xdr:colOff>
      <xdr:row>0</xdr:row>
      <xdr:rowOff>0</xdr:rowOff>
    </xdr:from>
    <xdr:to>
      <xdr:col>18</xdr:col>
      <xdr:colOff>74295</xdr:colOff>
      <xdr:row>4</xdr:row>
      <xdr:rowOff>71967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E67061F-0FA4-49F9-81B4-E10A9AE0C648}"/>
            </a:ext>
          </a:extLst>
        </xdr:cNvPr>
        <xdr:cNvSpPr/>
      </xdr:nvSpPr>
      <xdr:spPr>
        <a:xfrm>
          <a:off x="10300335" y="0"/>
          <a:ext cx="6713220" cy="8034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Surat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Paku TNI Wilayah VII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        /xxxxxxxxxxxxxx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                                           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923290</xdr:colOff>
      <xdr:row>3</xdr:row>
      <xdr:rowOff>10160</xdr:rowOff>
    </xdr:from>
    <xdr:to>
      <xdr:col>13</xdr:col>
      <xdr:colOff>5890</xdr:colOff>
      <xdr:row>3</xdr:row>
      <xdr:rowOff>10160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FC6C2CD-C8CB-4BE4-9AF6-EB55DCDE50BE}"/>
            </a:ext>
          </a:extLst>
        </xdr:cNvPr>
        <xdr:cNvCxnSpPr/>
      </xdr:nvCxnSpPr>
      <xdr:spPr>
        <a:xfrm>
          <a:off x="10379710" y="558800"/>
          <a:ext cx="35174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1615440</xdr:colOff>
      <xdr:row>0</xdr:row>
      <xdr:rowOff>0</xdr:rowOff>
    </xdr:from>
    <xdr:to>
      <xdr:col>16</xdr:col>
      <xdr:colOff>321944</xdr:colOff>
      <xdr:row>4</xdr:row>
      <xdr:rowOff>71967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77C2119-A0DA-4708-83C5-EF5B8EE6B2A4}"/>
            </a:ext>
          </a:extLst>
        </xdr:cNvPr>
        <xdr:cNvSpPr/>
      </xdr:nvSpPr>
      <xdr:spPr>
        <a:xfrm>
          <a:off x="10140315" y="0"/>
          <a:ext cx="4933473" cy="8339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Surat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Paku TNI Wilayah VII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        /xxxxxxxxxxxxxx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                                           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1678781</xdr:colOff>
      <xdr:row>2</xdr:row>
      <xdr:rowOff>166687</xdr:rowOff>
    </xdr:from>
    <xdr:to>
      <xdr:col>13</xdr:col>
      <xdr:colOff>4461</xdr:colOff>
      <xdr:row>3</xdr:row>
      <xdr:rowOff>10160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D1924E6-27F4-4D11-BE48-5F43EEC802C3}"/>
            </a:ext>
          </a:extLst>
        </xdr:cNvPr>
        <xdr:cNvCxnSpPr/>
      </xdr:nvCxnSpPr>
      <xdr:spPr>
        <a:xfrm>
          <a:off x="10203656" y="547687"/>
          <a:ext cx="2730993" cy="3397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813435</xdr:colOff>
      <xdr:row>0</xdr:row>
      <xdr:rowOff>0</xdr:rowOff>
    </xdr:from>
    <xdr:to>
      <xdr:col>18</xdr:col>
      <xdr:colOff>43815</xdr:colOff>
      <xdr:row>4</xdr:row>
      <xdr:rowOff>71967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ED8C0B9-90F9-45A0-A447-CF170062CEB9}"/>
            </a:ext>
          </a:extLst>
        </xdr:cNvPr>
        <xdr:cNvSpPr/>
      </xdr:nvSpPr>
      <xdr:spPr>
        <a:xfrm>
          <a:off x="10269855" y="0"/>
          <a:ext cx="6713220" cy="8034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 Surat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Paku TNI Wilayah VIII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        /xxxxxxxxxxxxxx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                                           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915670</xdr:colOff>
      <xdr:row>3</xdr:row>
      <xdr:rowOff>2540</xdr:rowOff>
    </xdr:from>
    <xdr:to>
      <xdr:col>12</xdr:col>
      <xdr:colOff>1705150</xdr:colOff>
      <xdr:row>3</xdr:row>
      <xdr:rowOff>2540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08A9A6B-D34D-4836-8789-EB9C21A305CF}"/>
            </a:ext>
          </a:extLst>
        </xdr:cNvPr>
        <xdr:cNvCxnSpPr/>
      </xdr:nvCxnSpPr>
      <xdr:spPr>
        <a:xfrm>
          <a:off x="10372090" y="551180"/>
          <a:ext cx="35174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487680</xdr:colOff>
      <xdr:row>0</xdr:row>
      <xdr:rowOff>11906</xdr:rowOff>
    </xdr:from>
    <xdr:to>
      <xdr:col>19</xdr:col>
      <xdr:colOff>206217</xdr:colOff>
      <xdr:row>4</xdr:row>
      <xdr:rowOff>83873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C46330-469E-4E5B-A558-05115FE3EFF7}"/>
            </a:ext>
          </a:extLst>
        </xdr:cNvPr>
        <xdr:cNvSpPr/>
      </xdr:nvSpPr>
      <xdr:spPr>
        <a:xfrm>
          <a:off x="10846118" y="11906"/>
          <a:ext cx="6564630" cy="8339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</a:t>
          </a:r>
          <a:r>
            <a:rPr lang="id-ID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Nota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Dinas 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Paku TNI 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Wil Jkt 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IX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ND-          /IX/2025/Paku-IX</a:t>
          </a:r>
          <a:endParaRPr lang="en-US" sz="1100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                    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September 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500062</xdr:colOff>
      <xdr:row>3</xdr:row>
      <xdr:rowOff>11906</xdr:rowOff>
    </xdr:from>
    <xdr:to>
      <xdr:col>13</xdr:col>
      <xdr:colOff>2556</xdr:colOff>
      <xdr:row>3</xdr:row>
      <xdr:rowOff>17780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A7301DD-C3B9-4CE6-B60C-E4CCDCE26C8E}"/>
            </a:ext>
          </a:extLst>
        </xdr:cNvPr>
        <xdr:cNvCxnSpPr/>
      </xdr:nvCxnSpPr>
      <xdr:spPr>
        <a:xfrm>
          <a:off x="10858500" y="583406"/>
          <a:ext cx="2705275" cy="587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379095</xdr:colOff>
      <xdr:row>0</xdr:row>
      <xdr:rowOff>0</xdr:rowOff>
    </xdr:from>
    <xdr:to>
      <xdr:col>17</xdr:col>
      <xdr:colOff>432435</xdr:colOff>
      <xdr:row>4</xdr:row>
      <xdr:rowOff>71967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4F3F844-3910-4B90-BDD4-12FDB4943416}"/>
            </a:ext>
          </a:extLst>
        </xdr:cNvPr>
        <xdr:cNvSpPr/>
      </xdr:nvSpPr>
      <xdr:spPr>
        <a:xfrm>
          <a:off x="10719435" y="0"/>
          <a:ext cx="5554980" cy="8034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Nota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Dinas Paku TNI Wil Jkt IX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B/ND-          /IX/2025/Paku-IX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                    September 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457200</xdr:colOff>
      <xdr:row>2</xdr:row>
      <xdr:rowOff>177800</xdr:rowOff>
    </xdr:from>
    <xdr:to>
      <xdr:col>12</xdr:col>
      <xdr:colOff>1095550</xdr:colOff>
      <xdr:row>3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4D7D403-F442-4AB3-8556-8BBA581E5ACD}"/>
            </a:ext>
          </a:extLst>
        </xdr:cNvPr>
        <xdr:cNvCxnSpPr/>
      </xdr:nvCxnSpPr>
      <xdr:spPr>
        <a:xfrm flipV="1">
          <a:off x="10797540" y="543560"/>
          <a:ext cx="2604310" cy="50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432911</xdr:colOff>
      <xdr:row>0</xdr:row>
      <xdr:rowOff>10954</xdr:rowOff>
    </xdr:from>
    <xdr:to>
      <xdr:col>19</xdr:col>
      <xdr:colOff>179070</xdr:colOff>
      <xdr:row>4</xdr:row>
      <xdr:rowOff>82921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A7B809F-5169-4F9D-B8F4-D108A0427F32}"/>
            </a:ext>
          </a:extLst>
        </xdr:cNvPr>
        <xdr:cNvSpPr/>
      </xdr:nvSpPr>
      <xdr:spPr>
        <a:xfrm>
          <a:off x="11779567" y="10954"/>
          <a:ext cx="6211253" cy="8339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Surat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Paku TNI Wilayah IX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B/ND-   /IX/2025/Paku-IX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             September 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511969</xdr:colOff>
      <xdr:row>3</xdr:row>
      <xdr:rowOff>0</xdr:rowOff>
    </xdr:from>
    <xdr:to>
      <xdr:col>13</xdr:col>
      <xdr:colOff>13510</xdr:colOff>
      <xdr:row>3</xdr:row>
      <xdr:rowOff>10160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BEFBAB5-27B4-44F2-93D5-CB2C0D2A43D7}"/>
            </a:ext>
          </a:extLst>
        </xdr:cNvPr>
        <xdr:cNvCxnSpPr/>
      </xdr:nvCxnSpPr>
      <xdr:spPr>
        <a:xfrm>
          <a:off x="11858625" y="571500"/>
          <a:ext cx="2323323" cy="101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466725</xdr:colOff>
      <xdr:row>0</xdr:row>
      <xdr:rowOff>15240</xdr:rowOff>
    </xdr:from>
    <xdr:to>
      <xdr:col>17</xdr:col>
      <xdr:colOff>306705</xdr:colOff>
      <xdr:row>4</xdr:row>
      <xdr:rowOff>87207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B002C64-20DC-4DCC-8891-DFA0C17F3041}"/>
            </a:ext>
          </a:extLst>
        </xdr:cNvPr>
        <xdr:cNvSpPr/>
      </xdr:nvSpPr>
      <xdr:spPr>
        <a:xfrm>
          <a:off x="10420350" y="15240"/>
          <a:ext cx="5400199" cy="8339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Not Dinas Paku TNI Wilayah IX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B/ND-          /IX/2025/Paku-IX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                    September 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547687</xdr:colOff>
      <xdr:row>3</xdr:row>
      <xdr:rowOff>10160</xdr:rowOff>
    </xdr:from>
    <xdr:to>
      <xdr:col>13</xdr:col>
      <xdr:colOff>1127</xdr:colOff>
      <xdr:row>3</xdr:row>
      <xdr:rowOff>11906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1F1EBE9-1284-4BEF-BD50-03BF75D9A7BD}"/>
            </a:ext>
          </a:extLst>
        </xdr:cNvPr>
        <xdr:cNvCxnSpPr/>
      </xdr:nvCxnSpPr>
      <xdr:spPr>
        <a:xfrm flipV="1">
          <a:off x="10501312" y="581660"/>
          <a:ext cx="2584784" cy="174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821055</xdr:colOff>
      <xdr:row>0</xdr:row>
      <xdr:rowOff>0</xdr:rowOff>
    </xdr:from>
    <xdr:to>
      <xdr:col>18</xdr:col>
      <xdr:colOff>51435</xdr:colOff>
      <xdr:row>4</xdr:row>
      <xdr:rowOff>71967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CA16615-7B95-4E86-99BC-4DE5DFD5AD7A}"/>
            </a:ext>
          </a:extLst>
        </xdr:cNvPr>
        <xdr:cNvSpPr/>
      </xdr:nvSpPr>
      <xdr:spPr>
        <a:xfrm>
          <a:off x="10277475" y="0"/>
          <a:ext cx="6713220" cy="8034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Surat Paku TNI Wilayah 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Jakarta 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X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ND-20/VIII/2025/PAKU X</a:t>
          </a:r>
          <a:endParaRPr lang="en-US" sz="1100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        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     Agustus 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915670</xdr:colOff>
      <xdr:row>3</xdr:row>
      <xdr:rowOff>10160</xdr:rowOff>
    </xdr:from>
    <xdr:to>
      <xdr:col>12</xdr:col>
      <xdr:colOff>1705150</xdr:colOff>
      <xdr:row>3</xdr:row>
      <xdr:rowOff>10160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1A64827-B0FC-4CB0-83D3-8D221C8F78EA}"/>
            </a:ext>
          </a:extLst>
        </xdr:cNvPr>
        <xdr:cNvCxnSpPr/>
      </xdr:nvCxnSpPr>
      <xdr:spPr>
        <a:xfrm>
          <a:off x="10372090" y="558800"/>
          <a:ext cx="35174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665321</xdr:colOff>
      <xdr:row>0</xdr:row>
      <xdr:rowOff>0</xdr:rowOff>
    </xdr:from>
    <xdr:to>
      <xdr:col>17</xdr:col>
      <xdr:colOff>502920</xdr:colOff>
      <xdr:row>4</xdr:row>
      <xdr:rowOff>71967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B70A2FA-4FE6-4055-893E-77AFC5781AA5}"/>
            </a:ext>
          </a:extLst>
        </xdr:cNvPr>
        <xdr:cNvSpPr/>
      </xdr:nvSpPr>
      <xdr:spPr>
        <a:xfrm>
          <a:off x="12404884" y="0"/>
          <a:ext cx="5766911" cy="8339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Surat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Paku TNI Wilayah 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Jakarta 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X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ND-20/VIII/2025/PAKU X</a:t>
          </a:r>
          <a:endParaRPr lang="en-US" sz="1100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                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Agustus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938530</xdr:colOff>
      <xdr:row>3</xdr:row>
      <xdr:rowOff>2540</xdr:rowOff>
    </xdr:from>
    <xdr:to>
      <xdr:col>13</xdr:col>
      <xdr:colOff>21130</xdr:colOff>
      <xdr:row>3</xdr:row>
      <xdr:rowOff>2540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332B919-F097-424C-8497-576580F83FD0}"/>
            </a:ext>
          </a:extLst>
        </xdr:cNvPr>
        <xdr:cNvCxnSpPr/>
      </xdr:nvCxnSpPr>
      <xdr:spPr>
        <a:xfrm>
          <a:off x="10394950" y="551180"/>
          <a:ext cx="35174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74295</xdr:colOff>
      <xdr:row>0</xdr:row>
      <xdr:rowOff>15240</xdr:rowOff>
    </xdr:from>
    <xdr:to>
      <xdr:col>16</xdr:col>
      <xdr:colOff>523875</xdr:colOff>
      <xdr:row>4</xdr:row>
      <xdr:rowOff>87207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53C3D93-7D39-466A-A0CB-C9060DB7C2AD}"/>
            </a:ext>
          </a:extLst>
        </xdr:cNvPr>
        <xdr:cNvSpPr/>
      </xdr:nvSpPr>
      <xdr:spPr>
        <a:xfrm>
          <a:off x="11001375" y="15240"/>
          <a:ext cx="5234940" cy="8034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Surat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Paku TNI Wilayah XI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        /xxxxxxxxxxxxxx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                                           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175260</xdr:colOff>
      <xdr:row>3</xdr:row>
      <xdr:rowOff>0</xdr:rowOff>
    </xdr:from>
    <xdr:to>
      <xdr:col>12</xdr:col>
      <xdr:colOff>1065070</xdr:colOff>
      <xdr:row>3</xdr:row>
      <xdr:rowOff>2540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F2D8D05-EF5B-4117-88D0-DB328FF7192A}"/>
            </a:ext>
          </a:extLst>
        </xdr:cNvPr>
        <xdr:cNvCxnSpPr/>
      </xdr:nvCxnSpPr>
      <xdr:spPr>
        <a:xfrm>
          <a:off x="11102340" y="548640"/>
          <a:ext cx="2779570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97155</xdr:colOff>
      <xdr:row>0</xdr:row>
      <xdr:rowOff>0</xdr:rowOff>
    </xdr:from>
    <xdr:to>
      <xdr:col>16</xdr:col>
      <xdr:colOff>569595</xdr:colOff>
      <xdr:row>4</xdr:row>
      <xdr:rowOff>71967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5B1D4E6-0E36-4952-ADE0-714CF80DBCA7}"/>
            </a:ext>
          </a:extLst>
        </xdr:cNvPr>
        <xdr:cNvSpPr/>
      </xdr:nvSpPr>
      <xdr:spPr>
        <a:xfrm>
          <a:off x="11610975" y="0"/>
          <a:ext cx="5189220" cy="8034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SUrat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Paku TNI Wilayah XI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        /xxxxxxxxxxxxxx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                                         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198120</xdr:colOff>
      <xdr:row>3</xdr:row>
      <xdr:rowOff>0</xdr:rowOff>
    </xdr:from>
    <xdr:to>
      <xdr:col>13</xdr:col>
      <xdr:colOff>21130</xdr:colOff>
      <xdr:row>3</xdr:row>
      <xdr:rowOff>10160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11F0ECC-64D4-48B0-B1ED-8FC6BA9E5DE3}"/>
            </a:ext>
          </a:extLst>
        </xdr:cNvPr>
        <xdr:cNvCxnSpPr/>
      </xdr:nvCxnSpPr>
      <xdr:spPr>
        <a:xfrm>
          <a:off x="11711940" y="548640"/>
          <a:ext cx="2710990" cy="101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805815</xdr:colOff>
      <xdr:row>0</xdr:row>
      <xdr:rowOff>0</xdr:rowOff>
    </xdr:from>
    <xdr:to>
      <xdr:col>18</xdr:col>
      <xdr:colOff>36195</xdr:colOff>
      <xdr:row>4</xdr:row>
      <xdr:rowOff>71967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3C0B7A8-FA0F-4974-9D28-8B0B6B0E2B93}"/>
            </a:ext>
          </a:extLst>
        </xdr:cNvPr>
        <xdr:cNvSpPr/>
      </xdr:nvSpPr>
      <xdr:spPr>
        <a:xfrm>
          <a:off x="10262235" y="0"/>
          <a:ext cx="6713220" cy="8034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Surat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Paku TNI Wilayah XI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        /xxxxxxxxxxxxxx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                                           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908050</xdr:colOff>
      <xdr:row>3</xdr:row>
      <xdr:rowOff>10160</xdr:rowOff>
    </xdr:from>
    <xdr:to>
      <xdr:col>12</xdr:col>
      <xdr:colOff>1697530</xdr:colOff>
      <xdr:row>3</xdr:row>
      <xdr:rowOff>10160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524A25E-FF22-410A-891C-641AB941B6FF}"/>
            </a:ext>
          </a:extLst>
        </xdr:cNvPr>
        <xdr:cNvCxnSpPr/>
      </xdr:nvCxnSpPr>
      <xdr:spPr>
        <a:xfrm>
          <a:off x="10364470" y="558800"/>
          <a:ext cx="35174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774859</xdr:colOff>
      <xdr:row>0</xdr:row>
      <xdr:rowOff>11907</xdr:rowOff>
    </xdr:from>
    <xdr:to>
      <xdr:col>18</xdr:col>
      <xdr:colOff>5239</xdr:colOff>
      <xdr:row>4</xdr:row>
      <xdr:rowOff>83874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FE110FD-6CF2-4BE8-92E9-ED3F301490A0}"/>
            </a:ext>
          </a:extLst>
        </xdr:cNvPr>
        <xdr:cNvSpPr/>
      </xdr:nvSpPr>
      <xdr:spPr>
        <a:xfrm>
          <a:off x="10037922" y="11907"/>
          <a:ext cx="6564630" cy="8339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</a:t>
          </a:r>
          <a:r>
            <a:rPr lang="id-ID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IV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Noota Dinas Paku TNI Wilayah Jakarta XII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/ND-04/IX/2025/Paku XII</a:t>
          </a:r>
          <a:endParaRPr lang="en-US" sz="1100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12 September 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857249</xdr:colOff>
      <xdr:row>3</xdr:row>
      <xdr:rowOff>2540</xdr:rowOff>
    </xdr:from>
    <xdr:to>
      <xdr:col>13</xdr:col>
      <xdr:colOff>4461</xdr:colOff>
      <xdr:row>3</xdr:row>
      <xdr:rowOff>11906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2F6BD38-4716-429D-8EEB-4D6CBEA234DE}"/>
            </a:ext>
          </a:extLst>
        </xdr:cNvPr>
        <xdr:cNvCxnSpPr/>
      </xdr:nvCxnSpPr>
      <xdr:spPr>
        <a:xfrm flipV="1">
          <a:off x="10120312" y="574040"/>
          <a:ext cx="3445368" cy="936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828675</xdr:colOff>
      <xdr:row>0</xdr:row>
      <xdr:rowOff>0</xdr:rowOff>
    </xdr:from>
    <xdr:to>
      <xdr:col>18</xdr:col>
      <xdr:colOff>59055</xdr:colOff>
      <xdr:row>4</xdr:row>
      <xdr:rowOff>71967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FDB6372-939E-443B-9700-685DA2B0D027}"/>
            </a:ext>
          </a:extLst>
        </xdr:cNvPr>
        <xdr:cNvSpPr/>
      </xdr:nvSpPr>
      <xdr:spPr>
        <a:xfrm>
          <a:off x="10285095" y="0"/>
          <a:ext cx="6713220" cy="8034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</a:t>
          </a:r>
          <a:r>
            <a:rPr lang="id-ID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Nota Dinas Paku TNI Wilayah Jakarta XII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ND-01/IX/2025/Paku XII</a:t>
          </a:r>
          <a:endParaRPr lang="en-US" sz="1100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 12 September 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908050</xdr:colOff>
      <xdr:row>3</xdr:row>
      <xdr:rowOff>10160</xdr:rowOff>
    </xdr:from>
    <xdr:to>
      <xdr:col>12</xdr:col>
      <xdr:colOff>1697530</xdr:colOff>
      <xdr:row>3</xdr:row>
      <xdr:rowOff>10160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BA111E8-4485-4233-B9C3-384A8AD64B16}"/>
            </a:ext>
          </a:extLst>
        </xdr:cNvPr>
        <xdr:cNvCxnSpPr/>
      </xdr:nvCxnSpPr>
      <xdr:spPr>
        <a:xfrm>
          <a:off x="10364470" y="558800"/>
          <a:ext cx="35174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828675</xdr:colOff>
      <xdr:row>0</xdr:row>
      <xdr:rowOff>0</xdr:rowOff>
    </xdr:from>
    <xdr:to>
      <xdr:col>18</xdr:col>
      <xdr:colOff>59055</xdr:colOff>
      <xdr:row>4</xdr:row>
      <xdr:rowOff>71967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C95F5D-E68C-499B-B59D-35465346DA5B}"/>
            </a:ext>
          </a:extLst>
        </xdr:cNvPr>
        <xdr:cNvSpPr/>
      </xdr:nvSpPr>
      <xdr:spPr>
        <a:xfrm>
          <a:off x="10285095" y="0"/>
          <a:ext cx="6713220" cy="8034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II Nota Dinas Paku TNI Wilayah Jakarta XII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/ND-01/IX/2025/Paku XII</a:t>
          </a:r>
          <a:endParaRPr lang="en-US" sz="1100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 12 September 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915670</xdr:colOff>
      <xdr:row>3</xdr:row>
      <xdr:rowOff>10160</xdr:rowOff>
    </xdr:from>
    <xdr:to>
      <xdr:col>12</xdr:col>
      <xdr:colOff>1705150</xdr:colOff>
      <xdr:row>3</xdr:row>
      <xdr:rowOff>10160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C545EDB-6BBE-42CE-AC45-B418DC07063E}"/>
            </a:ext>
          </a:extLst>
        </xdr:cNvPr>
        <xdr:cNvCxnSpPr/>
      </xdr:nvCxnSpPr>
      <xdr:spPr>
        <a:xfrm>
          <a:off x="10372090" y="558800"/>
          <a:ext cx="35174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821055</xdr:colOff>
      <xdr:row>0</xdr:row>
      <xdr:rowOff>0</xdr:rowOff>
    </xdr:from>
    <xdr:to>
      <xdr:col>18</xdr:col>
      <xdr:colOff>51435</xdr:colOff>
      <xdr:row>4</xdr:row>
      <xdr:rowOff>71967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83FC89D-8068-44DB-8E82-C65544369525}"/>
            </a:ext>
          </a:extLst>
        </xdr:cNvPr>
        <xdr:cNvSpPr/>
      </xdr:nvSpPr>
      <xdr:spPr>
        <a:xfrm>
          <a:off x="10277475" y="0"/>
          <a:ext cx="6713220" cy="8034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</a:t>
          </a:r>
          <a:r>
            <a:rPr lang="id-ID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III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Nota Dinas Paku TNI Wilayah Jakarta XII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/ND-01/IX/2025/Paku XII</a:t>
          </a:r>
          <a:endParaRPr lang="en-US" sz="1100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 12 September 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923290</xdr:colOff>
      <xdr:row>3</xdr:row>
      <xdr:rowOff>2540</xdr:rowOff>
    </xdr:from>
    <xdr:to>
      <xdr:col>13</xdr:col>
      <xdr:colOff>5890</xdr:colOff>
      <xdr:row>3</xdr:row>
      <xdr:rowOff>2540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7646B5A-CE19-42C3-B831-FBAFF5895C9E}"/>
            </a:ext>
          </a:extLst>
        </xdr:cNvPr>
        <xdr:cNvCxnSpPr/>
      </xdr:nvCxnSpPr>
      <xdr:spPr>
        <a:xfrm>
          <a:off x="10379710" y="551180"/>
          <a:ext cx="35174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813435</xdr:colOff>
      <xdr:row>0</xdr:row>
      <xdr:rowOff>0</xdr:rowOff>
    </xdr:from>
    <xdr:to>
      <xdr:col>18</xdr:col>
      <xdr:colOff>43815</xdr:colOff>
      <xdr:row>4</xdr:row>
      <xdr:rowOff>71967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610EF0E-C2A9-4DAD-9AAD-B036C25841DC}"/>
            </a:ext>
          </a:extLst>
        </xdr:cNvPr>
        <xdr:cNvSpPr/>
      </xdr:nvSpPr>
      <xdr:spPr>
        <a:xfrm>
          <a:off x="10269855" y="0"/>
          <a:ext cx="6713220" cy="8034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Surat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Paku TNI Wilayah XIII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        /xxxxxxxxxxxxxx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                                           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908050</xdr:colOff>
      <xdr:row>3</xdr:row>
      <xdr:rowOff>2540</xdr:rowOff>
    </xdr:from>
    <xdr:to>
      <xdr:col>12</xdr:col>
      <xdr:colOff>1697530</xdr:colOff>
      <xdr:row>3</xdr:row>
      <xdr:rowOff>2540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3B7A549-938E-41AE-AB3E-29CCA0C586DB}"/>
            </a:ext>
          </a:extLst>
        </xdr:cNvPr>
        <xdr:cNvCxnSpPr/>
      </xdr:nvCxnSpPr>
      <xdr:spPr>
        <a:xfrm>
          <a:off x="10364470" y="551180"/>
          <a:ext cx="35174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0</xdr:row>
      <xdr:rowOff>11907</xdr:rowOff>
    </xdr:from>
    <xdr:to>
      <xdr:col>19</xdr:col>
      <xdr:colOff>70962</xdr:colOff>
      <xdr:row>4</xdr:row>
      <xdr:rowOff>83874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26EF090-A4F6-48E0-925A-2E9EF659EA18}"/>
            </a:ext>
          </a:extLst>
        </xdr:cNvPr>
        <xdr:cNvSpPr/>
      </xdr:nvSpPr>
      <xdr:spPr>
        <a:xfrm>
          <a:off x="10710863" y="11907"/>
          <a:ext cx="6564630" cy="8339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Surat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Paku TNI Wilayah XII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        /xxxxxxxxxxxxxx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                                           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440531</xdr:colOff>
      <xdr:row>3</xdr:row>
      <xdr:rowOff>10160</xdr:rowOff>
    </xdr:from>
    <xdr:to>
      <xdr:col>13</xdr:col>
      <xdr:colOff>2556</xdr:colOff>
      <xdr:row>3</xdr:row>
      <xdr:rowOff>11906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22091C0-498B-48E9-A37D-4B7E484E1FE8}"/>
            </a:ext>
          </a:extLst>
        </xdr:cNvPr>
        <xdr:cNvCxnSpPr/>
      </xdr:nvCxnSpPr>
      <xdr:spPr>
        <a:xfrm flipV="1">
          <a:off x="10798969" y="581660"/>
          <a:ext cx="2764806" cy="174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843915</xdr:colOff>
      <xdr:row>0</xdr:row>
      <xdr:rowOff>0</xdr:rowOff>
    </xdr:from>
    <xdr:to>
      <xdr:col>18</xdr:col>
      <xdr:colOff>74295</xdr:colOff>
      <xdr:row>4</xdr:row>
      <xdr:rowOff>71967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815F556-6FAE-4E44-A665-EC7AF5548B55}"/>
            </a:ext>
          </a:extLst>
        </xdr:cNvPr>
        <xdr:cNvSpPr/>
      </xdr:nvSpPr>
      <xdr:spPr>
        <a:xfrm>
          <a:off x="10300335" y="0"/>
          <a:ext cx="6713220" cy="8034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I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Surat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Kaku 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Kogabwilhan III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1248/IX/2025</a:t>
          </a:r>
          <a:endParaRPr lang="en-US" sz="1100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</a:t>
          </a:r>
          <a:r>
            <a:rPr lang="id-ID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12 September 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930910</xdr:colOff>
      <xdr:row>2</xdr:row>
      <xdr:rowOff>177800</xdr:rowOff>
    </xdr:from>
    <xdr:to>
      <xdr:col>13</xdr:col>
      <xdr:colOff>13510</xdr:colOff>
      <xdr:row>2</xdr:row>
      <xdr:rowOff>177800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E633B1A-F20C-4E20-A20E-599A6F687FBC}"/>
            </a:ext>
          </a:extLst>
        </xdr:cNvPr>
        <xdr:cNvCxnSpPr/>
      </xdr:nvCxnSpPr>
      <xdr:spPr>
        <a:xfrm>
          <a:off x="10387330" y="543560"/>
          <a:ext cx="35174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1857375</xdr:colOff>
      <xdr:row>64</xdr:row>
      <xdr:rowOff>40822</xdr:rowOff>
    </xdr:from>
    <xdr:to>
      <xdr:col>12</xdr:col>
      <xdr:colOff>1143001</xdr:colOff>
      <xdr:row>74</xdr:row>
      <xdr:rowOff>190499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0499F14-694D-4592-BE92-A34598F4E831}"/>
            </a:ext>
          </a:extLst>
        </xdr:cNvPr>
        <xdr:cNvSpPr txBox="1"/>
      </xdr:nvSpPr>
      <xdr:spPr>
        <a:xfrm>
          <a:off x="15827375" y="18424072"/>
          <a:ext cx="4635501" cy="20546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 i="0">
              <a:solidFill>
                <a:schemeClr val="dk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Ka</a:t>
          </a:r>
          <a:r>
            <a:rPr lang="id-ID" sz="1600" b="0" i="0">
              <a:solidFill>
                <a:schemeClr val="dk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kupus</a:t>
          </a:r>
          <a:r>
            <a:rPr lang="en-US" sz="1600" b="0" i="0" baseline="0">
              <a:solidFill>
                <a:schemeClr val="dk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 TNI </a:t>
          </a:r>
          <a:r>
            <a:rPr lang="id-ID" sz="1600" b="0" i="0" baseline="0">
              <a:solidFill>
                <a:schemeClr val="dk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II</a:t>
          </a:r>
          <a:r>
            <a:rPr lang="en-US" sz="1600" b="0" i="0" baseline="0">
              <a:solidFill>
                <a:schemeClr val="dk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 Pusku TNI</a:t>
          </a:r>
          <a:r>
            <a:rPr lang="en-US" sz="1600" b="0" i="0">
              <a:solidFill>
                <a:schemeClr val="dk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,</a:t>
          </a:r>
          <a:r>
            <a:rPr lang="en-US" sz="1600">
              <a:solidFill>
                <a:schemeClr val="dk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 </a:t>
          </a:r>
          <a:r>
            <a:rPr lang="en-US" sz="1600" b="0" i="0">
              <a:solidFill>
                <a:schemeClr val="dk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 </a:t>
          </a:r>
        </a:p>
        <a:p>
          <a:pPr algn="ctr"/>
          <a:endParaRPr lang="en-US" sz="1600" b="0" i="0">
            <a:solidFill>
              <a:schemeClr val="dk1"/>
            </a:solidFill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/>
          <a:endParaRPr lang="en-US" sz="1600" b="0" i="0">
            <a:solidFill>
              <a:schemeClr val="dk1"/>
            </a:solidFill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/>
          <a:endParaRPr lang="en-US" sz="1600" b="0" i="0">
            <a:solidFill>
              <a:schemeClr val="dk1"/>
            </a:solidFill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/>
          <a:r>
            <a:rPr lang="en-US" sz="1600" b="0" i="0">
              <a:solidFill>
                <a:schemeClr val="dk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Jimmi Carnagie Munthe, S.A</a:t>
          </a:r>
          <a:r>
            <a:rPr lang="id-ID" sz="1600" b="0" i="0">
              <a:solidFill>
                <a:schemeClr val="dk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P</a:t>
          </a:r>
          <a:r>
            <a:rPr lang="en-US" sz="1600" b="0" i="0">
              <a:solidFill>
                <a:schemeClr val="dk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., M.M.</a:t>
          </a:r>
        </a:p>
        <a:p>
          <a:pPr algn="ctr"/>
          <a:r>
            <a:rPr lang="en-US" sz="1600" b="0" i="0">
              <a:solidFill>
                <a:schemeClr val="dk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Kolonel Adm NRP 523460</a:t>
          </a:r>
        </a:p>
      </xdr:txBody>
    </xdr:sp>
    <xdr:clientData/>
  </xdr:twoCellAnchor>
  <xdr:twoCellAnchor>
    <xdr:from>
      <xdr:col>8</xdr:col>
      <xdr:colOff>911679</xdr:colOff>
      <xdr:row>71</xdr:row>
      <xdr:rowOff>13607</xdr:rowOff>
    </xdr:from>
    <xdr:to>
      <xdr:col>10</xdr:col>
      <xdr:colOff>994666</xdr:colOff>
      <xdr:row>78</xdr:row>
      <xdr:rowOff>33367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20072C6-0DB6-4A35-9461-E15E4372C6D7}"/>
            </a:ext>
          </a:extLst>
        </xdr:cNvPr>
        <xdr:cNvSpPr txBox="1"/>
      </xdr:nvSpPr>
      <xdr:spPr>
        <a:xfrm>
          <a:off x="9375322" y="7225393"/>
          <a:ext cx="1811094" cy="1353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 b="0" i="0">
              <a:solidFill>
                <a:schemeClr val="bg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Paraf</a:t>
          </a:r>
          <a:r>
            <a:rPr lang="en-US" sz="1600" b="0" i="0" baseline="0">
              <a:solidFill>
                <a:schemeClr val="bg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 :</a:t>
          </a:r>
        </a:p>
        <a:p>
          <a:pPr algn="l"/>
          <a:endParaRPr lang="en-US" sz="1600" b="0" i="0" baseline="0">
            <a:solidFill>
              <a:schemeClr val="bg1"/>
            </a:solidFill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l"/>
          <a:r>
            <a:rPr lang="en-US" sz="1600" b="0" i="0" baseline="0">
              <a:solidFill>
                <a:schemeClr val="bg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1. Kasubbagverdalku :</a:t>
          </a:r>
        </a:p>
        <a:p>
          <a:pPr algn="l"/>
          <a:r>
            <a:rPr lang="en-US" sz="1600" b="0" i="0" baseline="0">
              <a:solidFill>
                <a:schemeClr val="bg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2. Kabagakun             :</a:t>
          </a:r>
        </a:p>
        <a:p>
          <a:pPr algn="l"/>
          <a:endParaRPr lang="en-US" sz="1600" b="0" i="0" baseline="0">
            <a:solidFill>
              <a:schemeClr val="bg1"/>
            </a:solidFill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</xdr:txBody>
    </xdr:sp>
    <xdr:clientData/>
  </xdr:twoCellAnchor>
  <xdr:twoCellAnchor>
    <xdr:from>
      <xdr:col>10</xdr:col>
      <xdr:colOff>683079</xdr:colOff>
      <xdr:row>0</xdr:row>
      <xdr:rowOff>51254</xdr:rowOff>
    </xdr:from>
    <xdr:to>
      <xdr:col>13</xdr:col>
      <xdr:colOff>247650</xdr:colOff>
      <xdr:row>4</xdr:row>
      <xdr:rowOff>74009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FEFAB781-7A2F-4253-9EC2-848791B2A673}"/>
            </a:ext>
          </a:extLst>
        </xdr:cNvPr>
        <xdr:cNvSpPr txBox="1">
          <a:spLocks noChangeArrowheads="1"/>
        </xdr:cNvSpPr>
      </xdr:nvSpPr>
      <xdr:spPr>
        <a:xfrm>
          <a:off x="17370879" y="51254"/>
          <a:ext cx="3907971" cy="1089555"/>
        </a:xfrm>
        <a:prstGeom prst="rect">
          <a:avLst/>
        </a:prstGeom>
        <a:noFill/>
        <a:ln w="9525">
          <a:solidFill>
            <a:srgbClr val="FFFFFF"/>
          </a:solidFill>
          <a:miter lim="800000"/>
        </a:ln>
      </xdr:spPr>
      <xdr:txBody>
        <a:bodyPr vertOverflow="clip" wrap="square" lIns="36576" tIns="27432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Nota Dinas Kakupus TNI II </a:t>
          </a:r>
        </a:p>
        <a:p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  B/ND-</a:t>
          </a:r>
          <a:r>
            <a:rPr lang="id-ID" sz="16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</a:t>
          </a:r>
          <a:r>
            <a:rPr lang="en-US" sz="16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/IX/2025/Kupus II </a:t>
          </a:r>
          <a:endParaRPr lang="id-ID" sz="16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   </a:t>
          </a:r>
          <a:r>
            <a:rPr lang="id-ID" sz="16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6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September    2025</a:t>
          </a:r>
        </a:p>
      </xdr:txBody>
    </xdr:sp>
    <xdr:clientData/>
  </xdr:twoCellAnchor>
  <xdr:twoCellAnchor>
    <xdr:from>
      <xdr:col>10</xdr:col>
      <xdr:colOff>679450</xdr:colOff>
      <xdr:row>3</xdr:row>
      <xdr:rowOff>47626</xdr:rowOff>
    </xdr:from>
    <xdr:to>
      <xdr:col>12</xdr:col>
      <xdr:colOff>1368850</xdr:colOff>
      <xdr:row>3</xdr:row>
      <xdr:rowOff>76200</xdr:rowOff>
    </xdr:to>
    <xdr:cxnSp macro="">
      <xdr:nvCxnSpPr>
        <xdr:cNvPr id="7" name="Straight Connector 11">
          <a:extLst>
            <a:ext uri="{FF2B5EF4-FFF2-40B4-BE49-F238E27FC236}">
              <a16:creationId xmlns:a16="http://schemas.microsoft.com/office/drawing/2014/main" id="{3406E88D-5654-47C5-B60D-6D32FF11354B}"/>
            </a:ext>
          </a:extLst>
        </xdr:cNvPr>
        <xdr:cNvCxnSpPr>
          <a:cxnSpLocks noChangeShapeType="1"/>
        </xdr:cNvCxnSpPr>
      </xdr:nvCxnSpPr>
      <xdr:spPr bwMode="auto">
        <a:xfrm flipV="1">
          <a:off x="17367250" y="847726"/>
          <a:ext cx="3204000" cy="28574"/>
        </a:xfrm>
        <a:prstGeom prst="line">
          <a:avLst/>
        </a:prstGeom>
        <a:noFill/>
        <a:ln w="9525" algn="ctr">
          <a:solidFill>
            <a:srgbClr val="4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247650</xdr:colOff>
      <xdr:row>0</xdr:row>
      <xdr:rowOff>9525</xdr:rowOff>
    </xdr:from>
    <xdr:to>
      <xdr:col>18</xdr:col>
      <xdr:colOff>438150</xdr:colOff>
      <xdr:row>4</xdr:row>
      <xdr:rowOff>157692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905875" y="9525"/>
          <a:ext cx="3343275" cy="7958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 II  Surat Kapuslapbinkuhan Kemhan</a:t>
          </a: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         /25/25/010/Puslapbinkuhan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                                                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687917</xdr:colOff>
      <xdr:row>0</xdr:row>
      <xdr:rowOff>0</xdr:rowOff>
    </xdr:from>
    <xdr:to>
      <xdr:col>21</xdr:col>
      <xdr:colOff>476251</xdr:colOff>
      <xdr:row>4</xdr:row>
      <xdr:rowOff>16200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0572750" y="0"/>
          <a:ext cx="5863168" cy="7358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 III Surat Kapuslapbinkuhan Kemhan</a:t>
          </a: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         /25/25/010/Puslapbinkuhan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                                                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592668</xdr:colOff>
      <xdr:row>0</xdr:row>
      <xdr:rowOff>0</xdr:rowOff>
    </xdr:from>
    <xdr:to>
      <xdr:col>20</xdr:col>
      <xdr:colOff>211669</xdr:colOff>
      <xdr:row>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1080751" y="0"/>
          <a:ext cx="3143251" cy="719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Lampiran  IV Surat Kapuslapbinkuhan Kemhan</a:t>
          </a:r>
        </a:p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Nomor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B/         /25/25/010/Puslapbinkuhan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Tanggal    :                                                 2025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31"/>
  <sheetViews>
    <sheetView view="pageBreakPreview" zoomScale="60" zoomScaleNormal="87" workbookViewId="0">
      <selection activeCell="H25" sqref="H25"/>
    </sheetView>
  </sheetViews>
  <sheetFormatPr defaultColWidth="9.140625" defaultRowHeight="12.75" x14ac:dyDescent="0.2"/>
  <cols>
    <col min="1" max="1" width="6" style="33" customWidth="1"/>
    <col min="2" max="2" width="28.7109375" style="1" bestFit="1" customWidth="1"/>
    <col min="3" max="7" width="13.42578125" style="1" customWidth="1"/>
    <col min="8" max="8" width="13.42578125" style="15" customWidth="1"/>
    <col min="9" max="9" width="13.42578125" style="1" customWidth="1"/>
    <col min="10" max="10" width="18.7109375" style="1" customWidth="1"/>
    <col min="11" max="11" width="13.140625" style="1" hidden="1" customWidth="1"/>
    <col min="12" max="12" width="14" style="1" hidden="1" customWidth="1"/>
    <col min="13" max="13" width="0.28515625" style="1" hidden="1" customWidth="1"/>
    <col min="14" max="16384" width="9.140625" style="1"/>
  </cols>
  <sheetData>
    <row r="2" spans="1:31" ht="15" customHeight="1" x14ac:dyDescent="0.2">
      <c r="A2" s="374" t="s">
        <v>23</v>
      </c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</row>
    <row r="3" spans="1:31" ht="15" customHeight="1" x14ac:dyDescent="0.2">
      <c r="A3" s="374" t="s">
        <v>79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</row>
    <row r="4" spans="1:31" ht="15" customHeight="1" x14ac:dyDescent="0.2">
      <c r="A4" s="374" t="s">
        <v>80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</row>
    <row r="5" spans="1:31" ht="21.75" customHeight="1" x14ac:dyDescent="0.2">
      <c r="B5" s="374"/>
      <c r="C5" s="374"/>
      <c r="D5" s="374"/>
      <c r="E5" s="374"/>
      <c r="F5" s="374"/>
      <c r="G5" s="374"/>
      <c r="H5" s="374"/>
      <c r="I5" s="374"/>
    </row>
    <row r="6" spans="1:31" ht="24.75" customHeight="1" x14ac:dyDescent="0.2">
      <c r="A6" s="375" t="s">
        <v>27</v>
      </c>
      <c r="B6" s="371" t="s">
        <v>28</v>
      </c>
      <c r="C6" s="372"/>
      <c r="D6" s="372"/>
      <c r="E6" s="373"/>
      <c r="F6" s="377" t="s">
        <v>145</v>
      </c>
      <c r="G6" s="377"/>
      <c r="H6" s="377"/>
      <c r="I6" s="378"/>
      <c r="J6" s="379" t="s">
        <v>148</v>
      </c>
      <c r="K6" s="379" t="s">
        <v>39</v>
      </c>
      <c r="L6" s="373" t="s">
        <v>24</v>
      </c>
      <c r="M6" s="379" t="s">
        <v>25</v>
      </c>
    </row>
    <row r="7" spans="1:31" ht="25.5" x14ac:dyDescent="0.2">
      <c r="A7" s="376"/>
      <c r="B7" s="13" t="s">
        <v>2</v>
      </c>
      <c r="C7" s="14" t="s">
        <v>3</v>
      </c>
      <c r="D7" s="13" t="s">
        <v>74</v>
      </c>
      <c r="E7" s="13" t="s">
        <v>4</v>
      </c>
      <c r="F7" s="2" t="s">
        <v>51</v>
      </c>
      <c r="G7" s="2" t="s">
        <v>142</v>
      </c>
      <c r="H7" s="2" t="s">
        <v>61</v>
      </c>
      <c r="I7" s="10" t="s">
        <v>6</v>
      </c>
      <c r="J7" s="380"/>
      <c r="K7" s="380"/>
      <c r="L7" s="381"/>
      <c r="M7" s="380"/>
    </row>
    <row r="8" spans="1:31" s="36" customFormat="1" ht="11.25" x14ac:dyDescent="0.25">
      <c r="A8" s="50">
        <v>1</v>
      </c>
      <c r="B8" s="50">
        <v>2</v>
      </c>
      <c r="C8" s="51" t="s">
        <v>40</v>
      </c>
      <c r="D8" s="51" t="s">
        <v>41</v>
      </c>
      <c r="E8" s="51" t="s">
        <v>42</v>
      </c>
      <c r="F8" s="52" t="s">
        <v>43</v>
      </c>
      <c r="G8" s="51" t="s">
        <v>44</v>
      </c>
      <c r="H8" s="51" t="s">
        <v>45</v>
      </c>
      <c r="I8" s="51">
        <v>9</v>
      </c>
      <c r="J8" s="51">
        <v>10</v>
      </c>
      <c r="K8" s="37">
        <v>14</v>
      </c>
      <c r="L8" s="104">
        <v>15</v>
      </c>
      <c r="M8" s="35">
        <v>16</v>
      </c>
    </row>
    <row r="9" spans="1:31" s="24" customFormat="1" x14ac:dyDescent="0.25">
      <c r="A9" s="38" t="s">
        <v>37</v>
      </c>
      <c r="B9" s="58" t="s">
        <v>36</v>
      </c>
      <c r="C9" s="59"/>
      <c r="D9" s="59"/>
      <c r="E9" s="59"/>
      <c r="F9" s="59"/>
      <c r="G9" s="59"/>
      <c r="H9" s="60"/>
      <c r="I9" s="59"/>
      <c r="J9" s="61"/>
      <c r="K9" s="22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pans="1:31" s="20" customFormat="1" x14ac:dyDescent="0.25">
      <c r="A10" s="62">
        <v>1</v>
      </c>
      <c r="B10" s="63" t="s">
        <v>94</v>
      </c>
      <c r="C10" s="64" t="s">
        <v>50</v>
      </c>
      <c r="D10" s="62" t="s">
        <v>78</v>
      </c>
      <c r="E10" s="62" t="s">
        <v>52</v>
      </c>
      <c r="F10" s="65" t="s">
        <v>77</v>
      </c>
      <c r="G10" s="65" t="s">
        <v>77</v>
      </c>
      <c r="H10" s="66" t="s">
        <v>83</v>
      </c>
      <c r="I10" s="65" t="s">
        <v>77</v>
      </c>
      <c r="J10" s="67" t="s">
        <v>77</v>
      </c>
      <c r="K10" s="18"/>
      <c r="L10" s="18"/>
      <c r="M10" s="17"/>
    </row>
    <row r="11" spans="1:31" s="20" customFormat="1" x14ac:dyDescent="0.25">
      <c r="A11" s="40" t="s">
        <v>85</v>
      </c>
      <c r="B11" s="19"/>
      <c r="C11" s="47"/>
      <c r="D11" s="40"/>
      <c r="E11" s="40"/>
      <c r="F11" s="42"/>
      <c r="G11" s="42"/>
      <c r="H11" s="43"/>
      <c r="I11" s="42"/>
      <c r="J11" s="44"/>
      <c r="K11" s="18"/>
      <c r="L11" s="18"/>
      <c r="M11" s="17"/>
    </row>
    <row r="12" spans="1:31" s="20" customFormat="1" x14ac:dyDescent="0.25">
      <c r="A12" s="49"/>
      <c r="B12" s="23"/>
      <c r="C12" s="68"/>
      <c r="D12" s="49"/>
      <c r="E12" s="49"/>
      <c r="F12" s="69"/>
      <c r="G12" s="69"/>
      <c r="H12" s="70"/>
      <c r="I12" s="69"/>
      <c r="J12" s="71"/>
      <c r="K12" s="18"/>
      <c r="L12" s="18"/>
      <c r="M12" s="17"/>
    </row>
    <row r="13" spans="1:31" s="24" customFormat="1" x14ac:dyDescent="0.25">
      <c r="A13" s="14" t="s">
        <v>38</v>
      </c>
      <c r="B13" s="383" t="s">
        <v>87</v>
      </c>
      <c r="C13" s="384"/>
      <c r="D13" s="384"/>
      <c r="E13" s="384"/>
      <c r="F13" s="74"/>
      <c r="G13" s="74"/>
      <c r="H13" s="75"/>
      <c r="I13" s="74"/>
      <c r="J13" s="76"/>
      <c r="K13" s="22"/>
      <c r="L13" s="22"/>
      <c r="M13" s="21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</row>
    <row r="14" spans="1:31" s="20" customFormat="1" ht="25.5" x14ac:dyDescent="0.25">
      <c r="A14" s="40">
        <v>1</v>
      </c>
      <c r="B14" s="26" t="s">
        <v>105</v>
      </c>
      <c r="C14" s="47" t="s">
        <v>50</v>
      </c>
      <c r="D14" s="40" t="s">
        <v>78</v>
      </c>
      <c r="E14" s="40" t="s">
        <v>52</v>
      </c>
      <c r="F14" s="56" t="s">
        <v>33</v>
      </c>
      <c r="G14" s="56" t="s">
        <v>33</v>
      </c>
      <c r="H14" s="57" t="s">
        <v>33</v>
      </c>
      <c r="I14" s="56" t="s">
        <v>33</v>
      </c>
      <c r="J14" s="44" t="s">
        <v>77</v>
      </c>
      <c r="K14" s="18"/>
      <c r="L14" s="18"/>
      <c r="M14" s="17"/>
    </row>
    <row r="15" spans="1:31" s="20" customFormat="1" x14ac:dyDescent="0.25">
      <c r="A15" s="40"/>
      <c r="B15" s="26"/>
      <c r="C15" s="47"/>
      <c r="D15" s="40"/>
      <c r="E15" s="40"/>
      <c r="F15" s="56"/>
      <c r="G15" s="56"/>
      <c r="H15" s="57"/>
      <c r="I15" s="56"/>
      <c r="J15" s="44"/>
      <c r="K15" s="18"/>
      <c r="L15" s="18"/>
      <c r="M15" s="19"/>
    </row>
    <row r="16" spans="1:31" s="20" customFormat="1" ht="25.5" x14ac:dyDescent="0.25">
      <c r="A16" s="40">
        <v>2</v>
      </c>
      <c r="B16" s="26" t="s">
        <v>86</v>
      </c>
      <c r="C16" s="47" t="s">
        <v>50</v>
      </c>
      <c r="D16" s="40" t="s">
        <v>76</v>
      </c>
      <c r="E16" s="40" t="s">
        <v>52</v>
      </c>
      <c r="F16" s="56" t="s">
        <v>33</v>
      </c>
      <c r="G16" s="56" t="s">
        <v>33</v>
      </c>
      <c r="H16" s="57" t="s">
        <v>33</v>
      </c>
      <c r="I16" s="56" t="s">
        <v>33</v>
      </c>
      <c r="J16" s="44" t="s">
        <v>77</v>
      </c>
      <c r="K16" s="18"/>
      <c r="L16" s="18"/>
      <c r="M16" s="19"/>
    </row>
    <row r="17" spans="1:13" s="20" customFormat="1" x14ac:dyDescent="0.25">
      <c r="A17" s="40" t="s">
        <v>85</v>
      </c>
      <c r="B17" s="26"/>
      <c r="C17" s="41"/>
      <c r="D17" s="40"/>
      <c r="E17" s="40"/>
      <c r="F17" s="56"/>
      <c r="G17" s="56"/>
      <c r="H17" s="57"/>
      <c r="I17" s="56"/>
      <c r="J17" s="44"/>
      <c r="K17" s="18"/>
      <c r="L17" s="18"/>
      <c r="M17" s="19"/>
    </row>
    <row r="18" spans="1:13" s="20" customFormat="1" x14ac:dyDescent="0.25">
      <c r="A18" s="40"/>
      <c r="B18" s="26"/>
      <c r="C18" s="41"/>
      <c r="D18" s="40"/>
      <c r="E18" s="40"/>
      <c r="F18" s="40"/>
      <c r="G18" s="40"/>
      <c r="H18" s="46"/>
      <c r="I18" s="40"/>
      <c r="J18" s="19"/>
      <c r="K18" s="18"/>
      <c r="L18" s="18"/>
      <c r="M18" s="19"/>
    </row>
    <row r="19" spans="1:13" s="20" customFormat="1" x14ac:dyDescent="0.25">
      <c r="A19" s="47" t="s">
        <v>8</v>
      </c>
      <c r="B19" s="47" t="s">
        <v>9</v>
      </c>
      <c r="C19" s="47" t="s">
        <v>10</v>
      </c>
      <c r="D19" s="47" t="s">
        <v>11</v>
      </c>
      <c r="E19" s="47" t="s">
        <v>12</v>
      </c>
      <c r="F19" s="47" t="s">
        <v>13</v>
      </c>
      <c r="G19" s="48" t="s">
        <v>14</v>
      </c>
      <c r="H19" s="48" t="s">
        <v>15</v>
      </c>
      <c r="I19" s="47" t="s">
        <v>16</v>
      </c>
      <c r="J19" s="47" t="s">
        <v>17</v>
      </c>
      <c r="K19" s="47" t="s">
        <v>19</v>
      </c>
      <c r="L19" s="18"/>
      <c r="M19" s="19"/>
    </row>
    <row r="20" spans="1:13" s="20" customFormat="1" x14ac:dyDescent="0.25">
      <c r="A20" s="40"/>
      <c r="B20" s="26"/>
      <c r="C20" s="41"/>
      <c r="D20" s="19"/>
      <c r="E20" s="19"/>
      <c r="F20" s="40"/>
      <c r="G20" s="40"/>
      <c r="H20" s="46"/>
      <c r="I20" s="40"/>
      <c r="J20" s="19"/>
      <c r="K20" s="18"/>
      <c r="L20" s="18"/>
      <c r="M20" s="19"/>
    </row>
    <row r="21" spans="1:13" s="20" customFormat="1" x14ac:dyDescent="0.25">
      <c r="A21" s="40"/>
      <c r="B21" s="26"/>
      <c r="C21" s="41"/>
      <c r="D21" s="19"/>
      <c r="E21" s="19"/>
      <c r="F21" s="40"/>
      <c r="G21" s="40"/>
      <c r="H21" s="46"/>
      <c r="I21" s="40"/>
      <c r="J21" s="19"/>
      <c r="K21" s="18"/>
      <c r="L21" s="18"/>
      <c r="M21" s="19"/>
    </row>
    <row r="22" spans="1:13" x14ac:dyDescent="0.2">
      <c r="A22" s="367"/>
      <c r="B22" s="386" t="s">
        <v>149</v>
      </c>
      <c r="C22" s="369"/>
      <c r="D22" s="369"/>
      <c r="E22" s="369"/>
      <c r="F22" s="8" t="s">
        <v>143</v>
      </c>
      <c r="G22" s="8" t="s">
        <v>143</v>
      </c>
      <c r="H22" s="8" t="s">
        <v>143</v>
      </c>
      <c r="I22" s="8" t="s">
        <v>143</v>
      </c>
      <c r="J22" s="103" t="s">
        <v>143</v>
      </c>
      <c r="K22" s="105"/>
    </row>
    <row r="23" spans="1:13" x14ac:dyDescent="0.2">
      <c r="A23" s="368"/>
      <c r="B23" s="387"/>
      <c r="C23" s="370"/>
      <c r="D23" s="370"/>
      <c r="E23" s="370"/>
      <c r="F23" s="11" t="s">
        <v>76</v>
      </c>
      <c r="G23" s="11" t="s">
        <v>76</v>
      </c>
      <c r="H23" s="11" t="s">
        <v>76</v>
      </c>
      <c r="I23" s="11" t="s">
        <v>76</v>
      </c>
      <c r="J23" s="385" t="s">
        <v>76</v>
      </c>
      <c r="K23" s="385"/>
    </row>
    <row r="24" spans="1:13" x14ac:dyDescent="0.2">
      <c r="H24" s="1"/>
      <c r="K24" s="382" t="s">
        <v>20</v>
      </c>
      <c r="L24" s="382"/>
      <c r="M24" s="382"/>
    </row>
    <row r="25" spans="1:13" x14ac:dyDescent="0.2">
      <c r="H25" s="1"/>
      <c r="I25" s="382" t="s">
        <v>144</v>
      </c>
      <c r="J25" s="382"/>
      <c r="K25" s="9"/>
      <c r="L25" s="9"/>
      <c r="M25" s="9"/>
    </row>
    <row r="26" spans="1:13" x14ac:dyDescent="0.2">
      <c r="H26" s="1"/>
    </row>
    <row r="27" spans="1:13" x14ac:dyDescent="0.2">
      <c r="H27" s="1"/>
    </row>
    <row r="28" spans="1:13" x14ac:dyDescent="0.2">
      <c r="H28" s="1"/>
      <c r="K28" s="382" t="s">
        <v>22</v>
      </c>
      <c r="L28" s="382"/>
      <c r="M28" s="382"/>
    </row>
    <row r="29" spans="1:13" x14ac:dyDescent="0.2">
      <c r="H29" s="1"/>
      <c r="I29" s="382" t="s">
        <v>2</v>
      </c>
      <c r="J29" s="382"/>
    </row>
    <row r="30" spans="1:13" x14ac:dyDescent="0.2">
      <c r="H30" s="1"/>
      <c r="I30" s="382" t="s">
        <v>22</v>
      </c>
      <c r="J30" s="382"/>
    </row>
    <row r="31" spans="1:13" x14ac:dyDescent="0.2">
      <c r="H31" s="1"/>
    </row>
  </sheetData>
  <mergeCells count="23">
    <mergeCell ref="I30:J30"/>
    <mergeCell ref="B13:E13"/>
    <mergeCell ref="K28:M28"/>
    <mergeCell ref="J23:K23"/>
    <mergeCell ref="K24:M24"/>
    <mergeCell ref="B22:B23"/>
    <mergeCell ref="I25:J25"/>
    <mergeCell ref="I29:J29"/>
    <mergeCell ref="A2:M2"/>
    <mergeCell ref="A3:M3"/>
    <mergeCell ref="A4:M4"/>
    <mergeCell ref="B5:I5"/>
    <mergeCell ref="A6:A7"/>
    <mergeCell ref="F6:I6"/>
    <mergeCell ref="J6:J7"/>
    <mergeCell ref="K6:K7"/>
    <mergeCell ref="L6:L7"/>
    <mergeCell ref="M6:M7"/>
    <mergeCell ref="A22:A23"/>
    <mergeCell ref="C22:C23"/>
    <mergeCell ref="D22:D23"/>
    <mergeCell ref="E22:E23"/>
    <mergeCell ref="B6:E6"/>
  </mergeCells>
  <pageMargins left="0.7" right="0.2" top="0.75" bottom="0.75" header="0.3" footer="0.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H33"/>
  <sheetViews>
    <sheetView view="pageBreakPreview" zoomScale="60" zoomScaleNormal="35" workbookViewId="0">
      <selection activeCell="D24" sqref="D24:D25"/>
    </sheetView>
  </sheetViews>
  <sheetFormatPr defaultColWidth="9.140625" defaultRowHeight="14.25" x14ac:dyDescent="0.2"/>
  <cols>
    <col min="1" max="1" width="6" style="165" customWidth="1"/>
    <col min="2" max="2" width="32.85546875" style="108" customWidth="1"/>
    <col min="3" max="7" width="13.42578125" style="108" customWidth="1"/>
    <col min="8" max="8" width="13.42578125" style="160" customWidth="1"/>
    <col min="9" max="12" width="13.42578125" style="108" customWidth="1"/>
    <col min="13" max="13" width="13.28515625" style="108" customWidth="1"/>
    <col min="14" max="14" width="13.140625" style="108" hidden="1" customWidth="1"/>
    <col min="15" max="15" width="14" style="108" hidden="1" customWidth="1"/>
    <col min="16" max="16" width="0.28515625" style="108" hidden="1" customWidth="1"/>
    <col min="17" max="16384" width="9.140625" style="108"/>
  </cols>
  <sheetData>
    <row r="5" spans="1:34" ht="15" customHeight="1" x14ac:dyDescent="0.2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34" ht="15" customHeight="1" x14ac:dyDescent="0.2">
      <c r="A6" s="397" t="s">
        <v>79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34" ht="15" customHeight="1" x14ac:dyDescent="0.2">
      <c r="A7" s="397" t="s">
        <v>80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34" ht="21.75" customHeight="1" x14ac:dyDescent="0.2"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</row>
    <row r="9" spans="1:34" ht="24.75" customHeight="1" x14ac:dyDescent="0.2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393" t="s">
        <v>39</v>
      </c>
      <c r="O9" s="393" t="s">
        <v>24</v>
      </c>
      <c r="P9" s="393" t="s">
        <v>25</v>
      </c>
    </row>
    <row r="10" spans="1:34" ht="30" x14ac:dyDescent="0.2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394"/>
      <c r="O10" s="394"/>
      <c r="P10" s="394"/>
    </row>
    <row r="11" spans="1:34" s="214" customFormat="1" ht="12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11">
        <v>14</v>
      </c>
      <c r="O11" s="212">
        <v>15</v>
      </c>
      <c r="P11" s="213">
        <v>16</v>
      </c>
    </row>
    <row r="12" spans="1:34" s="172" customFormat="1" ht="19.5" customHeight="1" x14ac:dyDescent="0.25">
      <c r="A12" s="110" t="s">
        <v>37</v>
      </c>
      <c r="B12" s="170" t="s">
        <v>36</v>
      </c>
      <c r="C12" s="174"/>
      <c r="D12" s="174"/>
      <c r="E12" s="174"/>
      <c r="F12" s="174"/>
      <c r="G12" s="174"/>
      <c r="H12" s="194"/>
      <c r="I12" s="174"/>
      <c r="J12" s="174"/>
      <c r="K12" s="174"/>
      <c r="L12" s="174"/>
      <c r="M12" s="174"/>
      <c r="N12" s="171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</row>
    <row r="13" spans="1:34" s="152" customFormat="1" x14ac:dyDescent="0.25">
      <c r="A13" s="181">
        <v>1</v>
      </c>
      <c r="B13" s="151" t="s">
        <v>158</v>
      </c>
      <c r="C13" s="149"/>
      <c r="D13" s="181"/>
      <c r="E13" s="181"/>
      <c r="F13" s="182"/>
      <c r="G13" s="182"/>
      <c r="H13" s="183"/>
      <c r="I13" s="182"/>
      <c r="J13" s="182"/>
      <c r="K13" s="182"/>
      <c r="L13" s="182"/>
      <c r="M13" s="184"/>
      <c r="N13" s="179"/>
      <c r="O13" s="179"/>
      <c r="P13" s="180"/>
    </row>
    <row r="14" spans="1:34" s="152" customFormat="1" x14ac:dyDescent="0.25">
      <c r="A14" s="181"/>
      <c r="B14" s="151"/>
      <c r="C14" s="149"/>
      <c r="D14" s="181"/>
      <c r="E14" s="181"/>
      <c r="F14" s="182"/>
      <c r="G14" s="182"/>
      <c r="H14" s="183"/>
      <c r="I14" s="182"/>
      <c r="J14" s="182"/>
      <c r="K14" s="182"/>
      <c r="L14" s="182"/>
      <c r="M14" s="184"/>
      <c r="N14" s="179"/>
      <c r="O14" s="179"/>
      <c r="P14" s="180"/>
    </row>
    <row r="15" spans="1:34" s="172" customFormat="1" ht="39" customHeight="1" x14ac:dyDescent="0.25">
      <c r="A15" s="132" t="s">
        <v>38</v>
      </c>
      <c r="B15" s="195" t="s">
        <v>87</v>
      </c>
      <c r="C15" s="196"/>
      <c r="D15" s="196"/>
      <c r="E15" s="196"/>
      <c r="F15" s="182"/>
      <c r="G15" s="182"/>
      <c r="H15" s="183"/>
      <c r="I15" s="182"/>
      <c r="J15" s="182"/>
      <c r="K15" s="182"/>
      <c r="L15" s="182"/>
      <c r="M15" s="184"/>
      <c r="N15" s="171"/>
      <c r="O15" s="171"/>
      <c r="P15" s="186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</row>
    <row r="16" spans="1:34" s="152" customFormat="1" ht="28.5" x14ac:dyDescent="0.25">
      <c r="A16" s="181">
        <v>1</v>
      </c>
      <c r="B16" s="187" t="s">
        <v>159</v>
      </c>
      <c r="C16" s="149"/>
      <c r="D16" s="181"/>
      <c r="E16" s="181"/>
      <c r="F16" s="188"/>
      <c r="G16" s="188"/>
      <c r="H16" s="189"/>
      <c r="I16" s="188"/>
      <c r="J16" s="188"/>
      <c r="K16" s="188"/>
      <c r="L16" s="188"/>
      <c r="M16" s="184"/>
      <c r="N16" s="179"/>
      <c r="O16" s="179"/>
      <c r="P16" s="180"/>
    </row>
    <row r="17" spans="1:17" s="152" customFormat="1" ht="8.25" customHeight="1" x14ac:dyDescent="0.25">
      <c r="A17" s="181"/>
      <c r="B17" s="187"/>
      <c r="C17" s="149"/>
      <c r="D17" s="181"/>
      <c r="E17" s="181"/>
      <c r="F17" s="188"/>
      <c r="G17" s="188"/>
      <c r="H17" s="189"/>
      <c r="I17" s="188"/>
      <c r="J17" s="188"/>
      <c r="K17" s="188"/>
      <c r="L17" s="188"/>
      <c r="M17" s="184"/>
      <c r="N17" s="179"/>
      <c r="O17" s="179"/>
      <c r="P17" s="151"/>
    </row>
    <row r="18" spans="1:17" s="152" customFormat="1" ht="28.5" x14ac:dyDescent="0.25">
      <c r="A18" s="181">
        <v>2</v>
      </c>
      <c r="B18" s="187" t="s">
        <v>160</v>
      </c>
      <c r="C18" s="149"/>
      <c r="D18" s="181"/>
      <c r="E18" s="181"/>
      <c r="F18" s="188"/>
      <c r="G18" s="188"/>
      <c r="H18" s="189"/>
      <c r="I18" s="188"/>
      <c r="J18" s="188"/>
      <c r="K18" s="188"/>
      <c r="L18" s="188"/>
      <c r="M18" s="184"/>
      <c r="N18" s="179"/>
      <c r="O18" s="179"/>
      <c r="P18" s="151"/>
    </row>
    <row r="19" spans="1:17" s="152" customFormat="1" x14ac:dyDescent="0.25">
      <c r="A19" s="181"/>
      <c r="B19" s="187"/>
      <c r="C19" s="190"/>
      <c r="D19" s="181"/>
      <c r="E19" s="181"/>
      <c r="F19" s="188"/>
      <c r="G19" s="188"/>
      <c r="H19" s="189"/>
      <c r="I19" s="188"/>
      <c r="J19" s="188"/>
      <c r="K19" s="188"/>
      <c r="L19" s="188"/>
      <c r="M19" s="184"/>
      <c r="N19" s="179"/>
      <c r="O19" s="179"/>
      <c r="P19" s="151"/>
    </row>
    <row r="20" spans="1:17" s="152" customFormat="1" x14ac:dyDescent="0.25">
      <c r="A20" s="181"/>
      <c r="B20" s="187"/>
      <c r="C20" s="190"/>
      <c r="D20" s="181"/>
      <c r="E20" s="181"/>
      <c r="F20" s="181"/>
      <c r="G20" s="181"/>
      <c r="H20" s="191"/>
      <c r="I20" s="181"/>
      <c r="J20" s="181"/>
      <c r="K20" s="181"/>
      <c r="L20" s="181"/>
      <c r="M20" s="151"/>
      <c r="N20" s="179"/>
      <c r="O20" s="179"/>
      <c r="P20" s="151"/>
    </row>
    <row r="21" spans="1:17" s="152" customFormat="1" x14ac:dyDescent="0.25">
      <c r="A21" s="149" t="s">
        <v>8</v>
      </c>
      <c r="B21" s="149" t="s">
        <v>9</v>
      </c>
      <c r="C21" s="149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149" t="s">
        <v>19</v>
      </c>
      <c r="O21" s="179"/>
      <c r="P21" s="151"/>
    </row>
    <row r="22" spans="1:17" s="152" customFormat="1" x14ac:dyDescent="0.25">
      <c r="A22" s="181"/>
      <c r="B22" s="187"/>
      <c r="C22" s="19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79"/>
      <c r="O22" s="179"/>
      <c r="P22" s="151"/>
    </row>
    <row r="23" spans="1:17" s="152" customFormat="1" x14ac:dyDescent="0.25">
      <c r="A23" s="181"/>
      <c r="B23" s="187"/>
      <c r="C23" s="190"/>
      <c r="D23" s="151"/>
      <c r="E23" s="151"/>
      <c r="F23" s="181"/>
      <c r="G23" s="181"/>
      <c r="H23" s="191"/>
      <c r="I23" s="181"/>
      <c r="J23" s="181"/>
      <c r="K23" s="181"/>
      <c r="L23" s="181"/>
      <c r="M23" s="151"/>
      <c r="N23" s="179"/>
      <c r="O23" s="179"/>
      <c r="P23" s="151"/>
    </row>
    <row r="24" spans="1:17" ht="15.75" customHeight="1" x14ac:dyDescent="0.2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148" t="s">
        <v>143</v>
      </c>
      <c r="N24" s="192"/>
    </row>
    <row r="25" spans="1:17" ht="15.75" customHeight="1" x14ac:dyDescent="0.2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395" t="s">
        <v>76</v>
      </c>
      <c r="N25" s="396"/>
      <c r="Q25" s="193"/>
    </row>
    <row r="26" spans="1:17" x14ac:dyDescent="0.2">
      <c r="H26" s="108"/>
      <c r="N26" s="390" t="s">
        <v>20</v>
      </c>
      <c r="O26" s="390"/>
      <c r="P26" s="390"/>
    </row>
    <row r="27" spans="1:17" x14ac:dyDescent="0.2">
      <c r="H27" s="108"/>
      <c r="K27" s="390" t="s">
        <v>167</v>
      </c>
      <c r="L27" s="390"/>
      <c r="M27" s="390"/>
      <c r="N27" s="107"/>
      <c r="O27" s="107"/>
      <c r="P27" s="107"/>
    </row>
    <row r="28" spans="1:17" x14ac:dyDescent="0.2">
      <c r="H28" s="108"/>
    </row>
    <row r="29" spans="1:17" x14ac:dyDescent="0.2">
      <c r="H29" s="108"/>
    </row>
    <row r="30" spans="1:17" x14ac:dyDescent="0.2">
      <c r="H30" s="108"/>
      <c r="N30" s="390" t="s">
        <v>22</v>
      </c>
      <c r="O30" s="390"/>
      <c r="P30" s="390"/>
    </row>
    <row r="31" spans="1:17" x14ac:dyDescent="0.2">
      <c r="H31" s="108"/>
    </row>
    <row r="32" spans="1:17" x14ac:dyDescent="0.2">
      <c r="H32" s="108"/>
      <c r="K32" s="390" t="s">
        <v>2</v>
      </c>
      <c r="L32" s="390"/>
      <c r="M32" s="390"/>
    </row>
    <row r="33" spans="8:13" x14ac:dyDescent="0.2">
      <c r="H33" s="108"/>
      <c r="K33" s="390" t="s">
        <v>22</v>
      </c>
      <c r="L33" s="390"/>
      <c r="M33" s="390"/>
    </row>
  </sheetData>
  <mergeCells count="28">
    <mergeCell ref="F24:F25"/>
    <mergeCell ref="A5:P5"/>
    <mergeCell ref="A6:P6"/>
    <mergeCell ref="A7:P7"/>
    <mergeCell ref="B8:I8"/>
    <mergeCell ref="A9:A10"/>
    <mergeCell ref="B9:E9"/>
    <mergeCell ref="F9:I9"/>
    <mergeCell ref="M9:M10"/>
    <mergeCell ref="N9:N10"/>
    <mergeCell ref="O9:O10"/>
    <mergeCell ref="A24:A25"/>
    <mergeCell ref="B24:B25"/>
    <mergeCell ref="C24:C25"/>
    <mergeCell ref="D24:D25"/>
    <mergeCell ref="E24:E25"/>
    <mergeCell ref="K33:M33"/>
    <mergeCell ref="N26:P26"/>
    <mergeCell ref="N30:P30"/>
    <mergeCell ref="J9:K9"/>
    <mergeCell ref="L9:L10"/>
    <mergeCell ref="P9:P10"/>
    <mergeCell ref="M25:N25"/>
    <mergeCell ref="G24:G25"/>
    <mergeCell ref="H24:H25"/>
    <mergeCell ref="I24:I25"/>
    <mergeCell ref="K27:M27"/>
    <mergeCell ref="K32:M32"/>
  </mergeCells>
  <pageMargins left="0.7" right="0.7" top="0.75" bottom="0.75" header="0.3" footer="0.3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"/>
  <sheetViews>
    <sheetView zoomScale="80" zoomScaleNormal="80" workbookViewId="0">
      <selection activeCell="B13" sqref="B13"/>
    </sheetView>
  </sheetViews>
  <sheetFormatPr defaultRowHeight="15" x14ac:dyDescent="0.25"/>
  <cols>
    <col min="2" max="2" width="29.85546875" customWidth="1"/>
    <col min="3" max="3" width="21.5703125" bestFit="1" customWidth="1"/>
    <col min="4" max="4" width="14" customWidth="1"/>
    <col min="6" max="6" width="14.5703125" customWidth="1"/>
    <col min="8" max="8" width="18.28515625" customWidth="1"/>
    <col min="9" max="9" width="12.42578125" customWidth="1"/>
    <col min="11" max="11" width="16.42578125" customWidth="1"/>
    <col min="12" max="12" width="23.28515625" customWidth="1"/>
    <col min="13" max="13" width="24.85546875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168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196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84"/>
      <c r="D12" s="174"/>
      <c r="E12" s="174"/>
      <c r="F12" s="174"/>
      <c r="G12" s="174"/>
      <c r="H12" s="194"/>
      <c r="I12" s="174"/>
      <c r="J12" s="174"/>
      <c r="K12" s="174"/>
      <c r="L12" s="174"/>
      <c r="M12" s="174"/>
      <c r="N12" s="152"/>
      <c r="O12" s="152"/>
      <c r="P12" s="152"/>
    </row>
    <row r="13" spans="1:16" x14ac:dyDescent="0.25">
      <c r="A13" s="181">
        <v>1</v>
      </c>
      <c r="B13" s="151" t="s">
        <v>237</v>
      </c>
      <c r="C13" s="276">
        <v>8100126840931000</v>
      </c>
      <c r="D13" s="181" t="s">
        <v>286</v>
      </c>
      <c r="E13" s="181" t="s">
        <v>198</v>
      </c>
      <c r="F13" s="182"/>
      <c r="G13" s="182"/>
      <c r="H13" s="183">
        <v>81368200</v>
      </c>
      <c r="I13" s="182"/>
      <c r="J13" s="307" t="s">
        <v>238</v>
      </c>
      <c r="K13" s="277">
        <v>44546</v>
      </c>
      <c r="L13" s="277">
        <v>45869</v>
      </c>
      <c r="M13" s="184" t="s">
        <v>239</v>
      </c>
      <c r="N13" s="152"/>
      <c r="O13" s="152"/>
      <c r="P13" s="152"/>
    </row>
    <row r="14" spans="1:16" x14ac:dyDescent="0.25">
      <c r="A14" s="181"/>
      <c r="B14" s="151"/>
      <c r="C14" s="276"/>
      <c r="D14" s="181"/>
      <c r="E14" s="181"/>
      <c r="F14" s="182"/>
      <c r="G14" s="182"/>
      <c r="H14" s="183"/>
      <c r="I14" s="182"/>
      <c r="J14" s="182"/>
      <c r="K14" s="277"/>
      <c r="L14" s="277"/>
      <c r="M14" s="184"/>
      <c r="N14" s="152"/>
      <c r="O14" s="152"/>
      <c r="P14" s="152"/>
    </row>
    <row r="15" spans="1:16" ht="53.45" customHeight="1" x14ac:dyDescent="0.25">
      <c r="A15" s="132" t="s">
        <v>38</v>
      </c>
      <c r="B15" s="195" t="s">
        <v>87</v>
      </c>
      <c r="C15" s="285"/>
      <c r="D15" s="196"/>
      <c r="E15" s="196"/>
      <c r="F15" s="182"/>
      <c r="G15" s="182"/>
      <c r="H15" s="183"/>
      <c r="I15" s="182"/>
      <c r="J15" s="182"/>
      <c r="K15" s="277"/>
      <c r="L15" s="277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6"/>
      <c r="D16" s="181"/>
      <c r="E16" s="181"/>
      <c r="F16" s="188"/>
      <c r="G16" s="188"/>
      <c r="H16" s="189"/>
      <c r="I16" s="188"/>
      <c r="J16" s="188"/>
      <c r="K16" s="282"/>
      <c r="L16" s="282"/>
      <c r="M16" s="184"/>
      <c r="N16" s="152"/>
      <c r="O16" s="152"/>
      <c r="P16" s="152"/>
    </row>
    <row r="17" spans="1:16" x14ac:dyDescent="0.25">
      <c r="A17" s="181"/>
      <c r="B17" s="187"/>
      <c r="C17" s="276"/>
      <c r="D17" s="181"/>
      <c r="E17" s="181"/>
      <c r="F17" s="188"/>
      <c r="G17" s="188"/>
      <c r="H17" s="189"/>
      <c r="I17" s="188"/>
      <c r="J17" s="188"/>
      <c r="K17" s="282"/>
      <c r="L17" s="282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6"/>
      <c r="D18" s="181"/>
      <c r="E18" s="181"/>
      <c r="F18" s="188"/>
      <c r="G18" s="188"/>
      <c r="H18" s="189"/>
      <c r="I18" s="188"/>
      <c r="J18" s="188"/>
      <c r="K18" s="282"/>
      <c r="L18" s="282"/>
      <c r="M18" s="184"/>
      <c r="N18" s="152"/>
      <c r="O18" s="152"/>
      <c r="P18" s="152"/>
    </row>
    <row r="19" spans="1:16" x14ac:dyDescent="0.25">
      <c r="A19" s="181"/>
      <c r="B19" s="187"/>
      <c r="C19" s="286"/>
      <c r="D19" s="181"/>
      <c r="E19" s="181"/>
      <c r="F19" s="188"/>
      <c r="G19" s="188"/>
      <c r="H19" s="189"/>
      <c r="I19" s="188"/>
      <c r="J19" s="188"/>
      <c r="K19" s="282"/>
      <c r="L19" s="282"/>
      <c r="M19" s="184"/>
      <c r="N19" s="152"/>
      <c r="O19" s="152"/>
      <c r="P19" s="152"/>
    </row>
    <row r="20" spans="1:16" x14ac:dyDescent="0.25">
      <c r="A20" s="181"/>
      <c r="B20" s="187"/>
      <c r="C20" s="286"/>
      <c r="D20" s="181"/>
      <c r="E20" s="181"/>
      <c r="F20" s="181"/>
      <c r="G20" s="181"/>
      <c r="H20" s="191"/>
      <c r="I20" s="181"/>
      <c r="J20" s="181"/>
      <c r="K20" s="283"/>
      <c r="L20" s="283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149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19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190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148">
        <f>SUM(M12:M20)</f>
        <v>0</v>
      </c>
      <c r="N24" s="108"/>
      <c r="O24" s="108"/>
      <c r="P24" s="108"/>
    </row>
    <row r="25" spans="1:16" x14ac:dyDescent="0.25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195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240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241</v>
      </c>
      <c r="L33" s="390"/>
      <c r="M33" s="390"/>
      <c r="N33" s="108"/>
      <c r="O33" s="108"/>
      <c r="P33" s="108"/>
    </row>
    <row r="34" spans="1:16" x14ac:dyDescent="0.25">
      <c r="A34" s="165"/>
      <c r="B34" s="108"/>
      <c r="C34" s="108"/>
      <c r="D34" s="108"/>
      <c r="E34" s="108"/>
      <c r="F34" s="108"/>
      <c r="G34" s="108"/>
      <c r="H34" s="160"/>
      <c r="I34" s="108"/>
      <c r="J34" s="108"/>
      <c r="K34" s="108"/>
      <c r="L34" s="108"/>
      <c r="M34" s="108"/>
      <c r="N34" s="108"/>
      <c r="O34" s="108"/>
      <c r="P34" s="108"/>
    </row>
    <row r="35" spans="1:16" x14ac:dyDescent="0.25">
      <c r="A35" s="165"/>
      <c r="B35" s="108"/>
      <c r="C35" s="108"/>
      <c r="D35" s="108"/>
      <c r="E35" s="108"/>
      <c r="F35" s="108"/>
      <c r="G35" s="108"/>
      <c r="H35" s="160"/>
      <c r="I35" s="108"/>
      <c r="J35" s="108"/>
      <c r="K35" s="108"/>
      <c r="L35" s="108"/>
      <c r="M35" s="108"/>
      <c r="N35" s="108"/>
      <c r="O35" s="108"/>
      <c r="P35" s="108"/>
    </row>
    <row r="36" spans="1:16" x14ac:dyDescent="0.25">
      <c r="A36" s="165"/>
      <c r="B36" s="108"/>
      <c r="C36" s="108"/>
      <c r="D36" s="108"/>
      <c r="E36" s="108"/>
      <c r="F36" s="108"/>
      <c r="G36" s="108"/>
      <c r="H36" s="160"/>
      <c r="I36" s="108"/>
      <c r="J36" s="108"/>
      <c r="K36" s="108"/>
      <c r="L36" s="108"/>
      <c r="M36" s="108"/>
      <c r="N36" s="108"/>
      <c r="O36" s="108"/>
      <c r="P36" s="108"/>
    </row>
  </sheetData>
  <mergeCells count="25">
    <mergeCell ref="F24:F25"/>
    <mergeCell ref="G24:G25"/>
    <mergeCell ref="K32:M32"/>
    <mergeCell ref="K33:M33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4"/>
  <sheetViews>
    <sheetView zoomScale="80" zoomScaleNormal="80" workbookViewId="0">
      <selection activeCell="B13" sqref="B13"/>
    </sheetView>
  </sheetViews>
  <sheetFormatPr defaultRowHeight="15" x14ac:dyDescent="0.25"/>
  <cols>
    <col min="2" max="2" width="29.85546875" customWidth="1"/>
    <col min="3" max="3" width="24.85546875" bestFit="1" customWidth="1"/>
    <col min="4" max="4" width="14" customWidth="1"/>
    <col min="6" max="6" width="14.5703125" customWidth="1"/>
    <col min="8" max="8" width="14.85546875" customWidth="1"/>
    <col min="9" max="9" width="8.85546875" customWidth="1"/>
    <col min="10" max="10" width="12.28515625" bestFit="1" customWidth="1"/>
    <col min="11" max="11" width="16.42578125" customWidth="1"/>
    <col min="12" max="12" width="23.28515625" customWidth="1"/>
    <col min="13" max="13" width="24.85546875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169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200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ht="30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84"/>
      <c r="D12" s="174"/>
      <c r="E12" s="174"/>
      <c r="F12" s="174"/>
      <c r="G12" s="174"/>
      <c r="H12" s="194"/>
      <c r="I12" s="174"/>
      <c r="J12" s="278"/>
      <c r="K12" s="281"/>
      <c r="L12" s="281"/>
      <c r="M12" s="174"/>
      <c r="N12" s="152"/>
      <c r="O12" s="152"/>
      <c r="P12" s="152"/>
    </row>
    <row r="13" spans="1:16" x14ac:dyDescent="0.25">
      <c r="A13" s="181">
        <v>1</v>
      </c>
      <c r="B13" s="151" t="s">
        <v>214</v>
      </c>
      <c r="C13" s="276">
        <v>8100126841361000</v>
      </c>
      <c r="D13" s="181" t="s">
        <v>286</v>
      </c>
      <c r="E13" s="181" t="s">
        <v>198</v>
      </c>
      <c r="F13" s="182">
        <v>0</v>
      </c>
      <c r="G13" s="182">
        <v>0</v>
      </c>
      <c r="H13" s="183">
        <v>42498039</v>
      </c>
      <c r="I13" s="182">
        <v>0</v>
      </c>
      <c r="J13" s="291" t="s">
        <v>215</v>
      </c>
      <c r="K13" s="277">
        <v>44546</v>
      </c>
      <c r="L13" s="277">
        <v>45867</v>
      </c>
      <c r="M13" s="184">
        <v>0</v>
      </c>
      <c r="N13" s="152"/>
      <c r="O13" s="152"/>
      <c r="P13" s="152"/>
    </row>
    <row r="14" spans="1:16" x14ac:dyDescent="0.25">
      <c r="A14" s="181"/>
      <c r="B14" s="151"/>
      <c r="C14" s="276"/>
      <c r="D14" s="181"/>
      <c r="E14" s="181"/>
      <c r="F14" s="182"/>
      <c r="G14" s="182"/>
      <c r="H14" s="183"/>
      <c r="I14" s="182"/>
      <c r="J14" s="288"/>
      <c r="K14" s="277"/>
      <c r="L14" s="277"/>
      <c r="M14" s="184"/>
      <c r="N14" s="152"/>
      <c r="O14" s="152"/>
      <c r="P14" s="152"/>
    </row>
    <row r="15" spans="1:16" ht="45" x14ac:dyDescent="0.25">
      <c r="A15" s="132" t="s">
        <v>38</v>
      </c>
      <c r="B15" s="195" t="s">
        <v>87</v>
      </c>
      <c r="C15" s="285"/>
      <c r="D15" s="196"/>
      <c r="E15" s="196"/>
      <c r="F15" s="182"/>
      <c r="G15" s="182"/>
      <c r="H15" s="183"/>
      <c r="I15" s="182"/>
      <c r="J15" s="288"/>
      <c r="K15" s="277"/>
      <c r="L15" s="277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6"/>
      <c r="D16" s="181"/>
      <c r="E16" s="181"/>
      <c r="F16" s="188"/>
      <c r="G16" s="188"/>
      <c r="H16" s="189"/>
      <c r="I16" s="188"/>
      <c r="J16" s="289"/>
      <c r="K16" s="282"/>
      <c r="L16" s="282"/>
      <c r="M16" s="184"/>
      <c r="N16" s="152"/>
      <c r="O16" s="152"/>
      <c r="P16" s="152"/>
    </row>
    <row r="17" spans="1:16" x14ac:dyDescent="0.25">
      <c r="A17" s="181"/>
      <c r="B17" s="187"/>
      <c r="C17" s="276"/>
      <c r="D17" s="181"/>
      <c r="E17" s="181"/>
      <c r="F17" s="188"/>
      <c r="G17" s="188"/>
      <c r="H17" s="189"/>
      <c r="I17" s="188"/>
      <c r="J17" s="289"/>
      <c r="K17" s="282"/>
      <c r="L17" s="282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6"/>
      <c r="D18" s="181"/>
      <c r="E18" s="181"/>
      <c r="F18" s="188"/>
      <c r="G18" s="188"/>
      <c r="H18" s="189"/>
      <c r="I18" s="188"/>
      <c r="J18" s="289"/>
      <c r="K18" s="282"/>
      <c r="L18" s="282"/>
      <c r="M18" s="184"/>
      <c r="N18" s="152"/>
      <c r="O18" s="152"/>
      <c r="P18" s="152"/>
    </row>
    <row r="19" spans="1:16" x14ac:dyDescent="0.25">
      <c r="A19" s="181"/>
      <c r="B19" s="187"/>
      <c r="C19" s="286"/>
      <c r="D19" s="181"/>
      <c r="E19" s="181"/>
      <c r="F19" s="188"/>
      <c r="G19" s="188"/>
      <c r="H19" s="189"/>
      <c r="I19" s="188"/>
      <c r="J19" s="289"/>
      <c r="K19" s="282"/>
      <c r="L19" s="282"/>
      <c r="M19" s="184"/>
      <c r="N19" s="152"/>
      <c r="O19" s="152"/>
      <c r="P19" s="152"/>
    </row>
    <row r="20" spans="1:16" x14ac:dyDescent="0.25">
      <c r="A20" s="181"/>
      <c r="B20" s="187"/>
      <c r="C20" s="190"/>
      <c r="D20" s="181"/>
      <c r="E20" s="181"/>
      <c r="F20" s="181"/>
      <c r="G20" s="181"/>
      <c r="H20" s="191"/>
      <c r="I20" s="181"/>
      <c r="J20" s="290"/>
      <c r="K20" s="181"/>
      <c r="L20" s="283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149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19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190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148">
        <f>SUM(M13:M20)</f>
        <v>0</v>
      </c>
      <c r="N24" s="108"/>
      <c r="O24" s="108"/>
      <c r="P24" s="108"/>
    </row>
    <row r="25" spans="1:16" x14ac:dyDescent="0.25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194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216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217</v>
      </c>
      <c r="L33" s="390"/>
      <c r="M33" s="390"/>
      <c r="N33" s="108"/>
      <c r="O33" s="108"/>
      <c r="P33" s="108"/>
    </row>
    <row r="34" spans="1:16" x14ac:dyDescent="0.25">
      <c r="A34" s="165"/>
      <c r="B34" s="108"/>
      <c r="C34" s="108"/>
      <c r="D34" s="108"/>
      <c r="E34" s="108"/>
      <c r="F34" s="108"/>
      <c r="G34" s="108"/>
      <c r="H34" s="160"/>
      <c r="I34" s="108"/>
      <c r="J34" s="108"/>
      <c r="K34" s="108"/>
      <c r="L34" s="108"/>
      <c r="M34" s="108"/>
      <c r="N34" s="108"/>
      <c r="O34" s="108"/>
      <c r="P34" s="108"/>
    </row>
  </sheetData>
  <mergeCells count="25">
    <mergeCell ref="K27:M27"/>
    <mergeCell ref="K32:M32"/>
    <mergeCell ref="K33:M33"/>
    <mergeCell ref="N9:N10"/>
    <mergeCell ref="E24:E25"/>
    <mergeCell ref="F24:F25"/>
    <mergeCell ref="G24:G25"/>
    <mergeCell ref="H24:H25"/>
    <mergeCell ref="I24:I25"/>
    <mergeCell ref="A24:A25"/>
    <mergeCell ref="A5:P5"/>
    <mergeCell ref="A6:P6"/>
    <mergeCell ref="A7:P7"/>
    <mergeCell ref="B8:I8"/>
    <mergeCell ref="B9:E9"/>
    <mergeCell ref="F9:I9"/>
    <mergeCell ref="J9:K9"/>
    <mergeCell ref="L9:L10"/>
    <mergeCell ref="M9:M10"/>
    <mergeCell ref="A9:A10"/>
    <mergeCell ref="O9:O10"/>
    <mergeCell ref="P9:P10"/>
    <mergeCell ref="B24:B25"/>
    <mergeCell ref="C24:C25"/>
    <mergeCell ref="D24:D2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3"/>
  <sheetViews>
    <sheetView topLeftCell="A6" zoomScale="80" zoomScaleNormal="80" workbookViewId="0">
      <selection activeCell="D14" sqref="D14"/>
    </sheetView>
  </sheetViews>
  <sheetFormatPr defaultRowHeight="15" x14ac:dyDescent="0.25"/>
  <cols>
    <col min="2" max="2" width="29.85546875" customWidth="1"/>
    <col min="3" max="3" width="21.5703125" bestFit="1" customWidth="1"/>
    <col min="4" max="4" width="9.7109375" customWidth="1"/>
    <col min="6" max="6" width="12" customWidth="1"/>
    <col min="7" max="7" width="12.5703125" customWidth="1"/>
    <col min="8" max="8" width="13.5703125" customWidth="1"/>
    <col min="9" max="9" width="10.5703125" customWidth="1"/>
    <col min="10" max="10" width="26.140625" customWidth="1"/>
    <col min="11" max="11" width="12.7109375" customWidth="1"/>
    <col min="12" max="12" width="12.5703125" customWidth="1"/>
    <col min="13" max="13" width="14.85546875" customWidth="1"/>
  </cols>
  <sheetData>
    <row r="1" spans="1:16" x14ac:dyDescent="0.25">
      <c r="A1" s="236"/>
      <c r="B1" s="237"/>
      <c r="C1" s="237"/>
      <c r="D1" s="237"/>
      <c r="E1" s="237"/>
      <c r="F1" s="237"/>
      <c r="G1" s="237"/>
      <c r="H1" s="238"/>
      <c r="I1" s="237"/>
      <c r="J1" s="237"/>
      <c r="K1" s="237"/>
      <c r="L1" s="237"/>
      <c r="M1" s="237"/>
      <c r="N1" s="237"/>
      <c r="O1" s="237"/>
      <c r="P1" s="237"/>
    </row>
    <row r="2" spans="1:16" x14ac:dyDescent="0.25">
      <c r="A2" s="236"/>
      <c r="B2" s="237"/>
      <c r="C2" s="237"/>
      <c r="D2" s="237"/>
      <c r="E2" s="237"/>
      <c r="F2" s="237"/>
      <c r="G2" s="237"/>
      <c r="H2" s="238"/>
      <c r="I2" s="237"/>
      <c r="J2" s="237"/>
      <c r="K2" s="237"/>
      <c r="L2" s="237"/>
      <c r="M2" s="237"/>
      <c r="N2" s="237"/>
      <c r="O2" s="237"/>
      <c r="P2" s="237"/>
    </row>
    <row r="3" spans="1:16" x14ac:dyDescent="0.25">
      <c r="A3" s="236"/>
      <c r="B3" s="237"/>
      <c r="C3" s="237"/>
      <c r="D3" s="237"/>
      <c r="E3" s="237"/>
      <c r="F3" s="237"/>
      <c r="G3" s="237"/>
      <c r="H3" s="238"/>
      <c r="I3" s="237"/>
      <c r="J3" s="237"/>
      <c r="K3" s="237"/>
      <c r="L3" s="237"/>
      <c r="M3" s="237"/>
      <c r="N3" s="237"/>
      <c r="O3" s="237"/>
      <c r="P3" s="237"/>
    </row>
    <row r="4" spans="1:16" x14ac:dyDescent="0.25">
      <c r="A4" s="236"/>
      <c r="B4" s="237"/>
      <c r="C4" s="237"/>
      <c r="D4" s="237"/>
      <c r="E4" s="237"/>
      <c r="F4" s="237"/>
      <c r="G4" s="237"/>
      <c r="H4" s="238"/>
      <c r="I4" s="237"/>
      <c r="J4" s="237"/>
      <c r="K4" s="237"/>
      <c r="L4" s="237"/>
      <c r="M4" s="237"/>
      <c r="N4" s="237"/>
      <c r="O4" s="237"/>
      <c r="P4" s="237"/>
    </row>
    <row r="5" spans="1:16" x14ac:dyDescent="0.25">
      <c r="A5" s="405" t="s">
        <v>23</v>
      </c>
      <c r="B5" s="405"/>
      <c r="C5" s="405"/>
      <c r="D5" s="405"/>
      <c r="E5" s="405"/>
      <c r="F5" s="405"/>
      <c r="G5" s="405"/>
      <c r="H5" s="405"/>
      <c r="I5" s="405"/>
      <c r="J5" s="405"/>
      <c r="K5" s="405"/>
      <c r="L5" s="405"/>
      <c r="M5" s="405"/>
      <c r="N5" s="405"/>
      <c r="O5" s="405"/>
      <c r="P5" s="405"/>
    </row>
    <row r="6" spans="1:16" x14ac:dyDescent="0.25">
      <c r="A6" s="405" t="s">
        <v>170</v>
      </c>
      <c r="B6" s="405"/>
      <c r="C6" s="405"/>
      <c r="D6" s="405"/>
      <c r="E6" s="405"/>
      <c r="F6" s="405"/>
      <c r="G6" s="405"/>
      <c r="H6" s="405"/>
      <c r="I6" s="405"/>
      <c r="J6" s="405"/>
      <c r="K6" s="405"/>
      <c r="L6" s="405"/>
      <c r="M6" s="405"/>
      <c r="N6" s="405"/>
      <c r="O6" s="405"/>
      <c r="P6" s="405"/>
    </row>
    <row r="7" spans="1:16" x14ac:dyDescent="0.25">
      <c r="A7" s="405" t="s">
        <v>200</v>
      </c>
      <c r="B7" s="405"/>
      <c r="C7" s="405"/>
      <c r="D7" s="405"/>
      <c r="E7" s="405"/>
      <c r="F7" s="405"/>
      <c r="G7" s="405"/>
      <c r="H7" s="405"/>
      <c r="I7" s="405"/>
      <c r="J7" s="405"/>
      <c r="K7" s="405"/>
      <c r="L7" s="405"/>
      <c r="M7" s="405"/>
      <c r="N7" s="405"/>
      <c r="O7" s="405"/>
      <c r="P7" s="405"/>
    </row>
    <row r="8" spans="1:16" x14ac:dyDescent="0.25">
      <c r="A8" s="236"/>
      <c r="B8" s="406"/>
      <c r="C8" s="406"/>
      <c r="D8" s="406"/>
      <c r="E8" s="406"/>
      <c r="F8" s="406"/>
      <c r="G8" s="406"/>
      <c r="H8" s="406"/>
      <c r="I8" s="406"/>
      <c r="J8" s="239"/>
      <c r="K8" s="239"/>
      <c r="L8" s="239"/>
      <c r="M8" s="237"/>
      <c r="N8" s="237"/>
      <c r="O8" s="237"/>
      <c r="P8" s="237"/>
    </row>
    <row r="9" spans="1:16" x14ac:dyDescent="0.25">
      <c r="A9" s="407" t="s">
        <v>27</v>
      </c>
      <c r="B9" s="409" t="s">
        <v>28</v>
      </c>
      <c r="C9" s="410"/>
      <c r="D9" s="410"/>
      <c r="E9" s="411"/>
      <c r="F9" s="409" t="s">
        <v>145</v>
      </c>
      <c r="G9" s="410"/>
      <c r="H9" s="410"/>
      <c r="I9" s="411"/>
      <c r="J9" s="409" t="s">
        <v>29</v>
      </c>
      <c r="K9" s="411"/>
      <c r="L9" s="412" t="s">
        <v>34</v>
      </c>
      <c r="M9" s="412" t="s">
        <v>154</v>
      </c>
      <c r="N9" s="414"/>
      <c r="O9" s="414"/>
      <c r="P9" s="414"/>
    </row>
    <row r="10" spans="1:16" ht="33" customHeight="1" x14ac:dyDescent="0.25">
      <c r="A10" s="408"/>
      <c r="B10" s="241" t="s">
        <v>2</v>
      </c>
      <c r="C10" s="242" t="s">
        <v>3</v>
      </c>
      <c r="D10" s="241" t="s">
        <v>74</v>
      </c>
      <c r="E10" s="241" t="s">
        <v>4</v>
      </c>
      <c r="F10" s="243" t="s">
        <v>51</v>
      </c>
      <c r="G10" s="243" t="s">
        <v>142</v>
      </c>
      <c r="H10" s="243" t="s">
        <v>61</v>
      </c>
      <c r="I10" s="244" t="s">
        <v>6</v>
      </c>
      <c r="J10" s="241" t="s">
        <v>3</v>
      </c>
      <c r="K10" s="241" t="s">
        <v>7</v>
      </c>
      <c r="L10" s="413"/>
      <c r="M10" s="413"/>
      <c r="N10" s="414"/>
      <c r="O10" s="414"/>
      <c r="P10" s="414"/>
    </row>
    <row r="11" spans="1:16" x14ac:dyDescent="0.25">
      <c r="A11" s="245">
        <v>1</v>
      </c>
      <c r="B11" s="245">
        <v>2</v>
      </c>
      <c r="C11" s="246" t="s">
        <v>40</v>
      </c>
      <c r="D11" s="246" t="s">
        <v>41</v>
      </c>
      <c r="E11" s="246" t="s">
        <v>42</v>
      </c>
      <c r="F11" s="247" t="s">
        <v>43</v>
      </c>
      <c r="G11" s="246" t="s">
        <v>44</v>
      </c>
      <c r="H11" s="246" t="s">
        <v>45</v>
      </c>
      <c r="I11" s="246">
        <v>9</v>
      </c>
      <c r="J11" s="246">
        <v>10</v>
      </c>
      <c r="K11" s="246">
        <v>11</v>
      </c>
      <c r="L11" s="246">
        <v>12</v>
      </c>
      <c r="M11" s="246" t="s">
        <v>164</v>
      </c>
      <c r="N11" s="248"/>
      <c r="O11" s="249"/>
      <c r="P11" s="249"/>
    </row>
    <row r="12" spans="1:16" x14ac:dyDescent="0.25">
      <c r="A12" s="240" t="s">
        <v>37</v>
      </c>
      <c r="B12" s="250" t="s">
        <v>36</v>
      </c>
      <c r="C12" s="292"/>
      <c r="D12" s="251"/>
      <c r="E12" s="251"/>
      <c r="F12" s="251"/>
      <c r="G12" s="251"/>
      <c r="H12" s="252"/>
      <c r="I12" s="251"/>
      <c r="J12" s="251"/>
      <c r="K12" s="296"/>
      <c r="L12" s="296"/>
      <c r="M12" s="251"/>
      <c r="N12" s="253"/>
      <c r="O12" s="253"/>
      <c r="P12" s="253"/>
    </row>
    <row r="13" spans="1:16" x14ac:dyDescent="0.25">
      <c r="A13" s="254">
        <v>1</v>
      </c>
      <c r="B13" s="255" t="s">
        <v>218</v>
      </c>
      <c r="C13" s="293">
        <v>8100123448801000</v>
      </c>
      <c r="D13" s="254" t="s">
        <v>286</v>
      </c>
      <c r="E13" s="254" t="s">
        <v>198</v>
      </c>
      <c r="F13" s="257">
        <v>0</v>
      </c>
      <c r="G13" s="257">
        <v>0</v>
      </c>
      <c r="H13" s="258">
        <v>0</v>
      </c>
      <c r="I13" s="257">
        <v>0</v>
      </c>
      <c r="J13" s="257" t="s">
        <v>219</v>
      </c>
      <c r="K13" s="297">
        <v>44917</v>
      </c>
      <c r="L13" s="297">
        <v>45869</v>
      </c>
      <c r="M13" s="259">
        <v>0</v>
      </c>
      <c r="N13" s="253"/>
      <c r="O13" s="253"/>
      <c r="P13" s="253"/>
    </row>
    <row r="14" spans="1:16" x14ac:dyDescent="0.25">
      <c r="A14" s="254"/>
      <c r="B14" s="255"/>
      <c r="C14" s="293"/>
      <c r="D14" s="254"/>
      <c r="E14" s="254"/>
      <c r="F14" s="257"/>
      <c r="G14" s="257"/>
      <c r="H14" s="258"/>
      <c r="I14" s="257"/>
      <c r="J14" s="257"/>
      <c r="K14" s="297"/>
      <c r="L14" s="297"/>
      <c r="M14" s="259"/>
      <c r="N14" s="253"/>
      <c r="O14" s="253"/>
      <c r="P14" s="253"/>
    </row>
    <row r="15" spans="1:16" ht="45" x14ac:dyDescent="0.25">
      <c r="A15" s="260" t="s">
        <v>38</v>
      </c>
      <c r="B15" s="261" t="s">
        <v>87</v>
      </c>
      <c r="C15" s="294"/>
      <c r="D15" s="262"/>
      <c r="E15" s="262"/>
      <c r="F15" s="257"/>
      <c r="G15" s="257"/>
      <c r="H15" s="258"/>
      <c r="I15" s="257"/>
      <c r="J15" s="257"/>
      <c r="K15" s="297"/>
      <c r="L15" s="297"/>
      <c r="M15" s="259"/>
      <c r="N15" s="253"/>
      <c r="O15" s="253"/>
      <c r="P15" s="253"/>
    </row>
    <row r="16" spans="1:16" ht="28.5" x14ac:dyDescent="0.25">
      <c r="A16" s="254">
        <v>1</v>
      </c>
      <c r="B16" s="263" t="s">
        <v>159</v>
      </c>
      <c r="C16" s="293"/>
      <c r="D16" s="254"/>
      <c r="E16" s="254"/>
      <c r="F16" s="264"/>
      <c r="G16" s="264"/>
      <c r="H16" s="265"/>
      <c r="I16" s="264"/>
      <c r="J16" s="264"/>
      <c r="K16" s="298"/>
      <c r="L16" s="298"/>
      <c r="M16" s="259"/>
      <c r="N16" s="253"/>
      <c r="O16" s="253"/>
      <c r="P16" s="253"/>
    </row>
    <row r="17" spans="1:16" x14ac:dyDescent="0.25">
      <c r="A17" s="254"/>
      <c r="B17" s="263"/>
      <c r="C17" s="293"/>
      <c r="D17" s="254"/>
      <c r="E17" s="254"/>
      <c r="F17" s="264"/>
      <c r="G17" s="264"/>
      <c r="H17" s="265"/>
      <c r="I17" s="264"/>
      <c r="J17" s="264"/>
      <c r="K17" s="298"/>
      <c r="L17" s="298"/>
      <c r="M17" s="259"/>
      <c r="N17" s="253"/>
      <c r="O17" s="253"/>
      <c r="P17" s="253"/>
    </row>
    <row r="18" spans="1:16" ht="28.5" x14ac:dyDescent="0.25">
      <c r="A18" s="254">
        <v>2</v>
      </c>
      <c r="B18" s="263" t="s">
        <v>160</v>
      </c>
      <c r="C18" s="293"/>
      <c r="D18" s="254"/>
      <c r="E18" s="254"/>
      <c r="F18" s="264"/>
      <c r="G18" s="264"/>
      <c r="H18" s="265"/>
      <c r="I18" s="264"/>
      <c r="J18" s="264"/>
      <c r="K18" s="298"/>
      <c r="L18" s="298"/>
      <c r="M18" s="259"/>
      <c r="N18" s="253"/>
      <c r="O18" s="253"/>
      <c r="P18" s="253"/>
    </row>
    <row r="19" spans="1:16" x14ac:dyDescent="0.25">
      <c r="A19" s="254"/>
      <c r="B19" s="263"/>
      <c r="C19" s="295"/>
      <c r="D19" s="254"/>
      <c r="E19" s="254"/>
      <c r="F19" s="264"/>
      <c r="G19" s="264"/>
      <c r="H19" s="265"/>
      <c r="I19" s="264"/>
      <c r="J19" s="264"/>
      <c r="K19" s="298"/>
      <c r="L19" s="298"/>
      <c r="M19" s="259"/>
      <c r="N19" s="253"/>
      <c r="O19" s="253"/>
      <c r="P19" s="253"/>
    </row>
    <row r="20" spans="1:16" x14ac:dyDescent="0.25">
      <c r="A20" s="254"/>
      <c r="B20" s="263"/>
      <c r="C20" s="266"/>
      <c r="D20" s="254"/>
      <c r="E20" s="254"/>
      <c r="F20" s="254"/>
      <c r="G20" s="254"/>
      <c r="H20" s="267"/>
      <c r="I20" s="254"/>
      <c r="J20" s="254"/>
      <c r="K20" s="299"/>
      <c r="L20" s="299"/>
      <c r="M20" s="255"/>
      <c r="N20" s="253"/>
      <c r="O20" s="253"/>
      <c r="P20" s="253"/>
    </row>
    <row r="21" spans="1:16" x14ac:dyDescent="0.25">
      <c r="A21" s="256" t="s">
        <v>8</v>
      </c>
      <c r="B21" s="256" t="s">
        <v>9</v>
      </c>
      <c r="C21" s="256" t="s">
        <v>10</v>
      </c>
      <c r="D21" s="256" t="s">
        <v>11</v>
      </c>
      <c r="E21" s="256" t="s">
        <v>12</v>
      </c>
      <c r="F21" s="256" t="s">
        <v>13</v>
      </c>
      <c r="G21" s="268" t="s">
        <v>14</v>
      </c>
      <c r="H21" s="268" t="s">
        <v>15</v>
      </c>
      <c r="I21" s="256" t="s">
        <v>16</v>
      </c>
      <c r="J21" s="256" t="s">
        <v>17</v>
      </c>
      <c r="K21" s="256" t="s">
        <v>18</v>
      </c>
      <c r="L21" s="256" t="s">
        <v>19</v>
      </c>
      <c r="M21" s="256" t="s">
        <v>31</v>
      </c>
      <c r="N21" s="269"/>
      <c r="O21" s="253"/>
      <c r="P21" s="253"/>
    </row>
    <row r="22" spans="1:16" x14ac:dyDescent="0.25">
      <c r="A22" s="254"/>
      <c r="B22" s="263"/>
      <c r="C22" s="266"/>
      <c r="D22" s="255"/>
      <c r="E22" s="255"/>
      <c r="F22" s="254"/>
      <c r="G22" s="254"/>
      <c r="H22" s="267"/>
      <c r="I22" s="254"/>
      <c r="J22" s="254"/>
      <c r="K22" s="254"/>
      <c r="L22" s="254"/>
      <c r="M22" s="255"/>
      <c r="N22" s="253"/>
      <c r="O22" s="253"/>
      <c r="P22" s="253"/>
    </row>
    <row r="23" spans="1:16" x14ac:dyDescent="0.25">
      <c r="A23" s="254"/>
      <c r="B23" s="263"/>
      <c r="C23" s="266"/>
      <c r="D23" s="255"/>
      <c r="E23" s="255"/>
      <c r="F23" s="254"/>
      <c r="G23" s="254"/>
      <c r="H23" s="267"/>
      <c r="I23" s="254"/>
      <c r="J23" s="254"/>
      <c r="K23" s="254"/>
      <c r="L23" s="254"/>
      <c r="M23" s="270"/>
      <c r="N23" s="253"/>
      <c r="O23" s="253"/>
      <c r="P23" s="253"/>
    </row>
    <row r="24" spans="1:16" x14ac:dyDescent="0.25">
      <c r="A24" s="415"/>
      <c r="B24" s="407" t="s">
        <v>161</v>
      </c>
      <c r="C24" s="417"/>
      <c r="D24" s="417"/>
      <c r="E24" s="417"/>
      <c r="F24" s="417"/>
      <c r="G24" s="417"/>
      <c r="H24" s="417"/>
      <c r="I24" s="417"/>
      <c r="J24" s="271"/>
      <c r="K24" s="271"/>
      <c r="L24" s="271"/>
      <c r="M24" s="271">
        <f>SUM(M13:M19)</f>
        <v>0</v>
      </c>
      <c r="N24" s="237"/>
      <c r="O24" s="237"/>
      <c r="P24" s="237"/>
    </row>
    <row r="25" spans="1:16" x14ac:dyDescent="0.25">
      <c r="A25" s="416"/>
      <c r="B25" s="408"/>
      <c r="C25" s="418"/>
      <c r="D25" s="418"/>
      <c r="E25" s="418"/>
      <c r="F25" s="418"/>
      <c r="G25" s="418"/>
      <c r="H25" s="418"/>
      <c r="I25" s="418"/>
      <c r="J25" s="272"/>
      <c r="K25" s="272"/>
      <c r="L25" s="272"/>
      <c r="M25" s="273" t="s">
        <v>76</v>
      </c>
      <c r="N25" s="237"/>
      <c r="O25" s="237"/>
      <c r="P25" s="237"/>
    </row>
    <row r="26" spans="1:16" x14ac:dyDescent="0.25">
      <c r="A26" s="236"/>
      <c r="B26" s="237"/>
      <c r="C26" s="237"/>
      <c r="D26" s="237"/>
      <c r="E26" s="237"/>
      <c r="F26" s="237"/>
      <c r="G26" s="237"/>
      <c r="H26" s="237"/>
      <c r="I26" s="237"/>
      <c r="J26" s="237"/>
      <c r="K26" s="237"/>
      <c r="L26" s="237"/>
      <c r="M26" s="237"/>
      <c r="N26" s="237"/>
      <c r="O26" s="237"/>
      <c r="P26" s="237"/>
    </row>
    <row r="27" spans="1:16" x14ac:dyDescent="0.25">
      <c r="A27" s="236"/>
      <c r="B27" s="237"/>
      <c r="C27" s="237"/>
      <c r="D27" s="237"/>
      <c r="E27" s="237"/>
      <c r="F27" s="237"/>
      <c r="G27" s="237"/>
      <c r="H27" s="237"/>
      <c r="I27" s="237"/>
      <c r="J27" s="237"/>
      <c r="K27" s="419" t="s">
        <v>194</v>
      </c>
      <c r="L27" s="419"/>
      <c r="M27" s="419"/>
      <c r="N27" s="274"/>
      <c r="O27" s="274"/>
      <c r="P27" s="274"/>
    </row>
    <row r="28" spans="1:16" x14ac:dyDescent="0.25">
      <c r="A28" s="236"/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</row>
    <row r="29" spans="1:16" x14ac:dyDescent="0.25">
      <c r="A29" s="236"/>
      <c r="B29" s="237"/>
      <c r="C29" s="237"/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</row>
    <row r="30" spans="1:16" x14ac:dyDescent="0.25">
      <c r="A30" s="236"/>
      <c r="B30" s="237"/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237"/>
      <c r="P30" s="237"/>
    </row>
    <row r="31" spans="1:16" x14ac:dyDescent="0.25">
      <c r="A31" s="236"/>
      <c r="B31" s="237"/>
      <c r="C31" s="237"/>
      <c r="D31" s="237"/>
      <c r="E31" s="237"/>
      <c r="F31" s="237"/>
      <c r="G31" s="237"/>
      <c r="H31" s="237"/>
      <c r="I31" s="237"/>
      <c r="J31" s="237"/>
      <c r="K31" s="237"/>
      <c r="L31" s="237"/>
      <c r="M31" s="237"/>
      <c r="N31" s="237"/>
      <c r="O31" s="237"/>
      <c r="P31" s="237"/>
    </row>
    <row r="32" spans="1:16" x14ac:dyDescent="0.25">
      <c r="A32" s="236"/>
      <c r="B32" s="237"/>
      <c r="C32" s="237"/>
      <c r="D32" s="237"/>
      <c r="E32" s="237"/>
      <c r="F32" s="237"/>
      <c r="G32" s="237"/>
      <c r="H32" s="237"/>
      <c r="I32" s="237"/>
      <c r="J32" s="237"/>
      <c r="K32" s="419" t="s">
        <v>216</v>
      </c>
      <c r="L32" s="419"/>
      <c r="M32" s="419"/>
      <c r="N32" s="237"/>
      <c r="O32" s="237"/>
      <c r="P32" s="237"/>
    </row>
    <row r="33" spans="1:16" x14ac:dyDescent="0.25">
      <c r="A33" s="236"/>
      <c r="B33" s="237"/>
      <c r="C33" s="237"/>
      <c r="D33" s="237"/>
      <c r="E33" s="237"/>
      <c r="F33" s="237"/>
      <c r="G33" s="237"/>
      <c r="H33" s="237"/>
      <c r="I33" s="237"/>
      <c r="J33" s="237"/>
      <c r="K33" s="419" t="s">
        <v>217</v>
      </c>
      <c r="L33" s="419"/>
      <c r="M33" s="419"/>
      <c r="N33" s="237"/>
      <c r="O33" s="237"/>
      <c r="P33" s="237"/>
    </row>
  </sheetData>
  <mergeCells count="25">
    <mergeCell ref="K32:M32"/>
    <mergeCell ref="K33:M33"/>
    <mergeCell ref="F24:F25"/>
    <mergeCell ref="G24:G25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3"/>
  <sheetViews>
    <sheetView zoomScale="60" zoomScaleNormal="60" workbookViewId="0">
      <selection activeCell="D13" sqref="D13"/>
    </sheetView>
  </sheetViews>
  <sheetFormatPr defaultRowHeight="15" x14ac:dyDescent="0.25"/>
  <cols>
    <col min="2" max="2" width="29.85546875" customWidth="1"/>
    <col min="3" max="3" width="26.28515625" customWidth="1"/>
    <col min="4" max="4" width="12.7109375" customWidth="1"/>
    <col min="5" max="5" width="14.42578125" customWidth="1"/>
    <col min="6" max="7" width="18.140625" bestFit="1" customWidth="1"/>
    <col min="8" max="8" width="18.28515625" customWidth="1"/>
    <col min="9" max="9" width="12" customWidth="1"/>
    <col min="10" max="10" width="29.85546875" customWidth="1"/>
    <col min="11" max="11" width="16.42578125" customWidth="1"/>
    <col min="12" max="12" width="23.28515625" customWidth="1"/>
    <col min="13" max="13" width="24.85546875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171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200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84"/>
      <c r="D12" s="174"/>
      <c r="E12" s="174"/>
      <c r="F12" s="174"/>
      <c r="G12" s="174"/>
      <c r="H12" s="194"/>
      <c r="I12" s="174"/>
      <c r="J12" s="174"/>
      <c r="K12" s="281"/>
      <c r="L12" s="281"/>
      <c r="M12" s="174"/>
      <c r="N12" s="152"/>
      <c r="O12" s="152"/>
      <c r="P12" s="152"/>
    </row>
    <row r="13" spans="1:16" x14ac:dyDescent="0.25">
      <c r="A13" s="181">
        <v>1</v>
      </c>
      <c r="B13" s="151" t="s">
        <v>248</v>
      </c>
      <c r="C13" s="276">
        <v>8100126840301000</v>
      </c>
      <c r="D13" s="181" t="s">
        <v>78</v>
      </c>
      <c r="E13" s="181" t="s">
        <v>226</v>
      </c>
      <c r="F13" s="182">
        <v>40000000000</v>
      </c>
      <c r="G13" s="182">
        <v>61838666657</v>
      </c>
      <c r="H13" s="183">
        <v>21483352530</v>
      </c>
      <c r="I13" s="182">
        <v>0</v>
      </c>
      <c r="J13" s="182" t="s">
        <v>202</v>
      </c>
      <c r="K13" s="277">
        <v>44140</v>
      </c>
      <c r="L13" s="277">
        <v>45861</v>
      </c>
      <c r="M13" s="311">
        <v>6472863317</v>
      </c>
      <c r="N13" s="152"/>
      <c r="O13" s="152"/>
      <c r="P13" s="152"/>
    </row>
    <row r="14" spans="1:16" x14ac:dyDescent="0.25">
      <c r="A14" s="181"/>
      <c r="B14" s="151"/>
      <c r="C14" s="276"/>
      <c r="D14" s="181"/>
      <c r="E14" s="181"/>
      <c r="F14" s="182"/>
      <c r="G14" s="182"/>
      <c r="H14" s="183"/>
      <c r="I14" s="182"/>
      <c r="J14" s="182"/>
      <c r="K14" s="277"/>
      <c r="L14" s="277"/>
      <c r="M14" s="184"/>
      <c r="N14" s="152"/>
      <c r="O14" s="152"/>
      <c r="P14" s="152"/>
    </row>
    <row r="15" spans="1:16" ht="45" x14ac:dyDescent="0.25">
      <c r="A15" s="132" t="s">
        <v>38</v>
      </c>
      <c r="B15" s="195" t="s">
        <v>87</v>
      </c>
      <c r="C15" s="285"/>
      <c r="D15" s="196"/>
      <c r="E15" s="196"/>
      <c r="F15" s="182"/>
      <c r="G15" s="182"/>
      <c r="H15" s="183"/>
      <c r="I15" s="182"/>
      <c r="J15" s="182"/>
      <c r="K15" s="277"/>
      <c r="L15" s="277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6"/>
      <c r="D16" s="181"/>
      <c r="E16" s="181"/>
      <c r="F16" s="188"/>
      <c r="G16" s="188"/>
      <c r="H16" s="189"/>
      <c r="I16" s="188"/>
      <c r="J16" s="188"/>
      <c r="K16" s="282"/>
      <c r="L16" s="282"/>
      <c r="M16" s="184"/>
      <c r="N16" s="152"/>
      <c r="O16" s="152"/>
      <c r="P16" s="152"/>
    </row>
    <row r="17" spans="1:16" x14ac:dyDescent="0.25">
      <c r="A17" s="181"/>
      <c r="B17" s="187"/>
      <c r="C17" s="276"/>
      <c r="D17" s="181"/>
      <c r="E17" s="181"/>
      <c r="F17" s="188"/>
      <c r="G17" s="188"/>
      <c r="H17" s="189"/>
      <c r="I17" s="188"/>
      <c r="J17" s="188"/>
      <c r="K17" s="282"/>
      <c r="L17" s="282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6"/>
      <c r="D18" s="181"/>
      <c r="E18" s="181"/>
      <c r="F18" s="188"/>
      <c r="G18" s="188"/>
      <c r="H18" s="189"/>
      <c r="I18" s="188"/>
      <c r="J18" s="188"/>
      <c r="K18" s="282"/>
      <c r="L18" s="282"/>
      <c r="M18" s="184"/>
      <c r="N18" s="152"/>
      <c r="O18" s="152"/>
      <c r="P18" s="152"/>
    </row>
    <row r="19" spans="1:16" x14ac:dyDescent="0.25">
      <c r="A19" s="181"/>
      <c r="B19" s="187"/>
      <c r="C19" s="286"/>
      <c r="D19" s="181"/>
      <c r="E19" s="181"/>
      <c r="F19" s="188"/>
      <c r="G19" s="188"/>
      <c r="H19" s="189"/>
      <c r="I19" s="188"/>
      <c r="J19" s="188"/>
      <c r="K19" s="282"/>
      <c r="L19" s="282"/>
      <c r="M19" s="184"/>
      <c r="N19" s="152"/>
      <c r="O19" s="152"/>
      <c r="P19" s="152"/>
    </row>
    <row r="20" spans="1:16" x14ac:dyDescent="0.25">
      <c r="A20" s="181"/>
      <c r="B20" s="187"/>
      <c r="C20" s="190"/>
      <c r="D20" s="181"/>
      <c r="E20" s="181"/>
      <c r="F20" s="181"/>
      <c r="G20" s="181"/>
      <c r="H20" s="191"/>
      <c r="I20" s="181"/>
      <c r="J20" s="181"/>
      <c r="K20" s="283"/>
      <c r="L20" s="283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149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19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190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148" t="s">
        <v>143</v>
      </c>
      <c r="N24" s="108"/>
      <c r="O24" s="108"/>
      <c r="P24" s="108"/>
    </row>
    <row r="25" spans="1:16" x14ac:dyDescent="0.25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193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249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250</v>
      </c>
      <c r="L33" s="390"/>
      <c r="M33" s="390"/>
      <c r="N33" s="108"/>
      <c r="O33" s="108"/>
      <c r="P33" s="108"/>
    </row>
  </sheetData>
  <mergeCells count="25">
    <mergeCell ref="K32:M32"/>
    <mergeCell ref="K33:M33"/>
    <mergeCell ref="F24:F25"/>
    <mergeCell ref="G24:G25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3"/>
  <sheetViews>
    <sheetView topLeftCell="A2" zoomScale="70" zoomScaleNormal="70" workbookViewId="0">
      <selection activeCell="M25" sqref="M25"/>
    </sheetView>
  </sheetViews>
  <sheetFormatPr defaultRowHeight="15" x14ac:dyDescent="0.25"/>
  <cols>
    <col min="2" max="2" width="29.85546875" customWidth="1"/>
    <col min="3" max="3" width="21.5703125" bestFit="1" customWidth="1"/>
    <col min="4" max="4" width="10.7109375" customWidth="1"/>
    <col min="6" max="6" width="14.5703125" customWidth="1"/>
    <col min="8" max="8" width="18.28515625" customWidth="1"/>
    <col min="9" max="9" width="16.7109375" customWidth="1"/>
    <col min="10" max="10" width="29.7109375" customWidth="1"/>
    <col min="11" max="11" width="16.42578125" customWidth="1"/>
    <col min="12" max="12" width="23.28515625" customWidth="1"/>
    <col min="13" max="13" width="24.85546875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172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200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ht="26.25" customHeight="1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84"/>
      <c r="D12" s="174"/>
      <c r="E12" s="174"/>
      <c r="F12" s="174"/>
      <c r="G12" s="174"/>
      <c r="H12" s="194"/>
      <c r="I12" s="174"/>
      <c r="J12" s="174"/>
      <c r="K12" s="174"/>
      <c r="L12" s="174"/>
      <c r="M12" s="174"/>
      <c r="N12" s="152"/>
      <c r="O12" s="152"/>
      <c r="P12" s="152"/>
    </row>
    <row r="13" spans="1:16" x14ac:dyDescent="0.25">
      <c r="A13" s="181">
        <v>1</v>
      </c>
      <c r="B13" s="151" t="s">
        <v>220</v>
      </c>
      <c r="C13" s="276">
        <v>8100126841571000</v>
      </c>
      <c r="D13" s="181" t="s">
        <v>78</v>
      </c>
      <c r="E13" s="181" t="s">
        <v>198</v>
      </c>
      <c r="F13" s="182">
        <v>0</v>
      </c>
      <c r="G13" s="182">
        <v>0</v>
      </c>
      <c r="H13" s="183">
        <v>387181048</v>
      </c>
      <c r="I13" s="182">
        <v>0</v>
      </c>
      <c r="J13" s="182" t="s">
        <v>202</v>
      </c>
      <c r="K13" s="277">
        <v>44140</v>
      </c>
      <c r="L13" s="277">
        <v>45862</v>
      </c>
      <c r="M13" s="184">
        <v>0</v>
      </c>
      <c r="N13" s="152"/>
      <c r="O13" s="152"/>
      <c r="P13" s="152"/>
    </row>
    <row r="14" spans="1:16" x14ac:dyDescent="0.25">
      <c r="A14" s="181"/>
      <c r="B14" s="151"/>
      <c r="C14" s="276"/>
      <c r="D14" s="181"/>
      <c r="E14" s="181"/>
      <c r="F14" s="182"/>
      <c r="G14" s="182"/>
      <c r="H14" s="183"/>
      <c r="I14" s="182"/>
      <c r="J14" s="182"/>
      <c r="K14" s="277"/>
      <c r="L14" s="277"/>
      <c r="M14" s="184"/>
      <c r="N14" s="152"/>
      <c r="O14" s="152"/>
      <c r="P14" s="152"/>
    </row>
    <row r="15" spans="1:16" ht="45" x14ac:dyDescent="0.25">
      <c r="A15" s="132" t="s">
        <v>38</v>
      </c>
      <c r="B15" s="195" t="s">
        <v>87</v>
      </c>
      <c r="C15" s="285"/>
      <c r="D15" s="196"/>
      <c r="E15" s="196"/>
      <c r="F15" s="182"/>
      <c r="G15" s="182"/>
      <c r="H15" s="183"/>
      <c r="I15" s="182"/>
      <c r="J15" s="182"/>
      <c r="K15" s="277"/>
      <c r="L15" s="277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6"/>
      <c r="D16" s="181"/>
      <c r="E16" s="181"/>
      <c r="F16" s="188"/>
      <c r="G16" s="188"/>
      <c r="H16" s="189"/>
      <c r="I16" s="188"/>
      <c r="J16" s="188"/>
      <c r="K16" s="282"/>
      <c r="L16" s="282"/>
      <c r="M16" s="184"/>
      <c r="N16" s="152"/>
      <c r="O16" s="152"/>
      <c r="P16" s="152"/>
    </row>
    <row r="17" spans="1:16" x14ac:dyDescent="0.25">
      <c r="A17" s="181"/>
      <c r="B17" s="187"/>
      <c r="C17" s="276"/>
      <c r="D17" s="181"/>
      <c r="E17" s="181"/>
      <c r="F17" s="188"/>
      <c r="G17" s="188"/>
      <c r="H17" s="189"/>
      <c r="I17" s="188"/>
      <c r="J17" s="188"/>
      <c r="K17" s="282"/>
      <c r="L17" s="282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6"/>
      <c r="D18" s="181"/>
      <c r="E18" s="181"/>
      <c r="F18" s="188"/>
      <c r="G18" s="188"/>
      <c r="H18" s="189"/>
      <c r="I18" s="188"/>
      <c r="J18" s="188"/>
      <c r="K18" s="282"/>
      <c r="L18" s="282"/>
      <c r="M18" s="184"/>
      <c r="N18" s="152"/>
      <c r="O18" s="152"/>
      <c r="P18" s="152"/>
    </row>
    <row r="19" spans="1:16" x14ac:dyDescent="0.25">
      <c r="A19" s="181"/>
      <c r="B19" s="187"/>
      <c r="C19" s="286"/>
      <c r="D19" s="181"/>
      <c r="E19" s="181"/>
      <c r="F19" s="188"/>
      <c r="G19" s="188"/>
      <c r="H19" s="189"/>
      <c r="I19" s="188"/>
      <c r="J19" s="188"/>
      <c r="K19" s="282"/>
      <c r="L19" s="282"/>
      <c r="M19" s="184"/>
      <c r="N19" s="152"/>
      <c r="O19" s="152"/>
      <c r="P19" s="152"/>
    </row>
    <row r="20" spans="1:16" x14ac:dyDescent="0.25">
      <c r="A20" s="181"/>
      <c r="B20" s="187"/>
      <c r="C20" s="190"/>
      <c r="D20" s="181"/>
      <c r="E20" s="181"/>
      <c r="F20" s="181"/>
      <c r="G20" s="181"/>
      <c r="H20" s="191"/>
      <c r="I20" s="181"/>
      <c r="J20" s="181"/>
      <c r="K20" s="283"/>
      <c r="L20" s="283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149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19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190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148">
        <f>SUM(M13:M19)</f>
        <v>0</v>
      </c>
      <c r="N24" s="108"/>
      <c r="O24" s="108"/>
      <c r="P24" s="108"/>
    </row>
    <row r="25" spans="1:16" x14ac:dyDescent="0.25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192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207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208</v>
      </c>
      <c r="L33" s="390"/>
      <c r="M33" s="390"/>
      <c r="N33" s="108"/>
      <c r="O33" s="108"/>
      <c r="P33" s="108"/>
    </row>
  </sheetData>
  <mergeCells count="25">
    <mergeCell ref="K32:M32"/>
    <mergeCell ref="K33:M33"/>
    <mergeCell ref="F24:F25"/>
    <mergeCell ref="G24:G25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3"/>
  <sheetViews>
    <sheetView topLeftCell="A7" zoomScale="80" zoomScaleNormal="80" workbookViewId="0">
      <selection activeCell="M14" sqref="M14"/>
    </sheetView>
  </sheetViews>
  <sheetFormatPr defaultRowHeight="15" x14ac:dyDescent="0.25"/>
  <cols>
    <col min="2" max="2" width="29.85546875" customWidth="1"/>
    <col min="3" max="3" width="21.7109375" customWidth="1"/>
    <col min="4" max="4" width="10" customWidth="1"/>
    <col min="6" max="6" width="12" customWidth="1"/>
    <col min="8" max="8" width="14.28515625" customWidth="1"/>
    <col min="9" max="9" width="7.7109375" customWidth="1"/>
    <col min="10" max="10" width="29.140625" customWidth="1"/>
    <col min="11" max="11" width="13.28515625" customWidth="1"/>
    <col min="12" max="12" width="15.28515625" customWidth="1"/>
    <col min="13" max="13" width="16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173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209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ht="27" customHeight="1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84"/>
      <c r="D12" s="174"/>
      <c r="E12" s="174"/>
      <c r="F12" s="174"/>
      <c r="G12" s="174"/>
      <c r="H12" s="194"/>
      <c r="I12" s="174"/>
      <c r="J12" s="174"/>
      <c r="K12" s="281"/>
      <c r="L12" s="174"/>
      <c r="M12" s="174"/>
      <c r="N12" s="152"/>
      <c r="O12" s="152"/>
      <c r="P12" s="152"/>
    </row>
    <row r="13" spans="1:16" x14ac:dyDescent="0.25">
      <c r="A13" s="181">
        <v>1</v>
      </c>
      <c r="B13" s="151" t="s">
        <v>210</v>
      </c>
      <c r="C13" s="276">
        <v>8100126841991000</v>
      </c>
      <c r="D13" s="181" t="s">
        <v>78</v>
      </c>
      <c r="E13" s="181" t="s">
        <v>198</v>
      </c>
      <c r="F13" s="182">
        <v>0</v>
      </c>
      <c r="G13" s="182">
        <v>0</v>
      </c>
      <c r="H13" s="183">
        <v>402818432</v>
      </c>
      <c r="I13" s="182">
        <v>0</v>
      </c>
      <c r="J13" s="182" t="s">
        <v>202</v>
      </c>
      <c r="K13" s="277">
        <v>44140</v>
      </c>
      <c r="L13" s="182" t="s">
        <v>33</v>
      </c>
      <c r="M13" s="287">
        <v>0</v>
      </c>
      <c r="N13" s="152"/>
      <c r="O13" s="152"/>
      <c r="P13" s="152"/>
    </row>
    <row r="14" spans="1:16" x14ac:dyDescent="0.25">
      <c r="A14" s="181"/>
      <c r="B14" s="151"/>
      <c r="C14" s="276"/>
      <c r="D14" s="181"/>
      <c r="E14" s="181"/>
      <c r="F14" s="182"/>
      <c r="G14" s="182"/>
      <c r="H14" s="183"/>
      <c r="I14" s="182"/>
      <c r="J14" s="182"/>
      <c r="K14" s="277"/>
      <c r="L14" s="182"/>
      <c r="M14" s="184"/>
      <c r="N14" s="152"/>
      <c r="O14" s="152"/>
      <c r="P14" s="152"/>
    </row>
    <row r="15" spans="1:16" ht="45" x14ac:dyDescent="0.25">
      <c r="A15" s="132" t="s">
        <v>38</v>
      </c>
      <c r="B15" s="195" t="s">
        <v>87</v>
      </c>
      <c r="C15" s="285"/>
      <c r="D15" s="196"/>
      <c r="E15" s="196"/>
      <c r="F15" s="182"/>
      <c r="G15" s="182"/>
      <c r="H15" s="183"/>
      <c r="I15" s="182"/>
      <c r="J15" s="182"/>
      <c r="K15" s="277"/>
      <c r="L15" s="182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6"/>
      <c r="D16" s="181"/>
      <c r="E16" s="181"/>
      <c r="F16" s="188"/>
      <c r="G16" s="188"/>
      <c r="H16" s="189"/>
      <c r="I16" s="188"/>
      <c r="J16" s="188"/>
      <c r="K16" s="282"/>
      <c r="L16" s="188"/>
      <c r="M16" s="184"/>
      <c r="N16" s="152"/>
      <c r="O16" s="152"/>
      <c r="P16" s="152"/>
    </row>
    <row r="17" spans="1:16" x14ac:dyDescent="0.25">
      <c r="A17" s="181"/>
      <c r="B17" s="187"/>
      <c r="C17" s="276"/>
      <c r="D17" s="181"/>
      <c r="E17" s="181"/>
      <c r="F17" s="188"/>
      <c r="G17" s="188"/>
      <c r="H17" s="189"/>
      <c r="I17" s="188"/>
      <c r="J17" s="188"/>
      <c r="K17" s="282"/>
      <c r="L17" s="188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6"/>
      <c r="D18" s="181"/>
      <c r="E18" s="181"/>
      <c r="F18" s="188"/>
      <c r="G18" s="188"/>
      <c r="H18" s="189"/>
      <c r="I18" s="188"/>
      <c r="J18" s="188"/>
      <c r="K18" s="282"/>
      <c r="L18" s="188"/>
      <c r="M18" s="184"/>
      <c r="N18" s="152"/>
      <c r="O18" s="152"/>
      <c r="P18" s="152"/>
    </row>
    <row r="19" spans="1:16" x14ac:dyDescent="0.25">
      <c r="A19" s="181"/>
      <c r="B19" s="187"/>
      <c r="C19" s="286"/>
      <c r="D19" s="181"/>
      <c r="E19" s="181"/>
      <c r="F19" s="188"/>
      <c r="G19" s="188"/>
      <c r="H19" s="189"/>
      <c r="I19" s="188"/>
      <c r="J19" s="188"/>
      <c r="K19" s="282"/>
      <c r="L19" s="188"/>
      <c r="M19" s="184"/>
      <c r="N19" s="152"/>
      <c r="O19" s="152"/>
      <c r="P19" s="152"/>
    </row>
    <row r="20" spans="1:16" x14ac:dyDescent="0.25">
      <c r="A20" s="181"/>
      <c r="B20" s="187"/>
      <c r="C20" s="190"/>
      <c r="D20" s="181"/>
      <c r="E20" s="181"/>
      <c r="F20" s="181"/>
      <c r="G20" s="181"/>
      <c r="H20" s="191"/>
      <c r="I20" s="181"/>
      <c r="J20" s="181"/>
      <c r="K20" s="283"/>
      <c r="L20" s="181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149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19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190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148" t="s">
        <v>143</v>
      </c>
      <c r="N24" s="108"/>
      <c r="O24" s="108"/>
      <c r="P24" s="108"/>
    </row>
    <row r="25" spans="1:16" x14ac:dyDescent="0.25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192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211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208</v>
      </c>
      <c r="L33" s="390"/>
      <c r="M33" s="390"/>
      <c r="N33" s="108"/>
      <c r="O33" s="108"/>
      <c r="P33" s="108"/>
    </row>
  </sheetData>
  <mergeCells count="25">
    <mergeCell ref="K32:M32"/>
    <mergeCell ref="K33:M33"/>
    <mergeCell ref="F24:F25"/>
    <mergeCell ref="G24:G25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3"/>
  <sheetViews>
    <sheetView topLeftCell="A7" zoomScale="80" zoomScaleNormal="80" workbookViewId="0">
      <selection activeCell="M25" sqref="M25"/>
    </sheetView>
  </sheetViews>
  <sheetFormatPr defaultRowHeight="15" x14ac:dyDescent="0.25"/>
  <cols>
    <col min="2" max="2" width="31.85546875" customWidth="1"/>
    <col min="3" max="3" width="21.42578125" customWidth="1"/>
    <col min="4" max="4" width="9.7109375" customWidth="1"/>
    <col min="6" max="6" width="14.5703125" customWidth="1"/>
    <col min="8" max="8" width="13" customWidth="1"/>
    <col min="9" max="9" width="8.85546875" customWidth="1"/>
    <col min="10" max="10" width="29.42578125" customWidth="1"/>
    <col min="11" max="11" width="14.5703125" customWidth="1"/>
    <col min="12" max="12" width="15.28515625" customWidth="1"/>
    <col min="13" max="13" width="13.85546875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174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200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ht="27.6" customHeight="1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84"/>
      <c r="D12" s="174"/>
      <c r="E12" s="174"/>
      <c r="F12" s="174"/>
      <c r="G12" s="174"/>
      <c r="H12" s="194"/>
      <c r="I12" s="174"/>
      <c r="J12" s="174"/>
      <c r="K12" s="281"/>
      <c r="L12" s="281"/>
      <c r="M12" s="174"/>
      <c r="N12" s="152"/>
      <c r="O12" s="152"/>
      <c r="P12" s="152"/>
    </row>
    <row r="13" spans="1:16" x14ac:dyDescent="0.25">
      <c r="A13" s="181">
        <v>1</v>
      </c>
      <c r="B13" s="151" t="s">
        <v>205</v>
      </c>
      <c r="C13" s="276">
        <v>8100126841401000</v>
      </c>
      <c r="D13" s="181" t="s">
        <v>78</v>
      </c>
      <c r="E13" s="181" t="s">
        <v>198</v>
      </c>
      <c r="F13" s="182">
        <v>0</v>
      </c>
      <c r="G13" s="182">
        <v>0</v>
      </c>
      <c r="H13" s="183">
        <v>38670000</v>
      </c>
      <c r="I13" s="182">
        <v>0</v>
      </c>
      <c r="J13" s="182" t="s">
        <v>206</v>
      </c>
      <c r="K13" s="277">
        <v>44137</v>
      </c>
      <c r="L13" s="277">
        <v>45868</v>
      </c>
      <c r="M13" s="287">
        <v>0</v>
      </c>
      <c r="N13" s="152"/>
      <c r="O13" s="152"/>
      <c r="P13" s="152"/>
    </row>
    <row r="14" spans="1:16" x14ac:dyDescent="0.25">
      <c r="A14" s="181"/>
      <c r="B14" s="151"/>
      <c r="C14" s="276"/>
      <c r="D14" s="181"/>
      <c r="E14" s="181"/>
      <c r="F14" s="182"/>
      <c r="G14" s="182"/>
      <c r="H14" s="183"/>
      <c r="I14" s="182"/>
      <c r="J14" s="182"/>
      <c r="K14" s="277"/>
      <c r="L14" s="277"/>
      <c r="M14" s="184"/>
      <c r="N14" s="152"/>
      <c r="O14" s="152"/>
      <c r="P14" s="152"/>
    </row>
    <row r="15" spans="1:16" ht="30" x14ac:dyDescent="0.25">
      <c r="A15" s="132" t="s">
        <v>38</v>
      </c>
      <c r="B15" s="195" t="s">
        <v>87</v>
      </c>
      <c r="C15" s="285"/>
      <c r="D15" s="196"/>
      <c r="E15" s="196"/>
      <c r="F15" s="182"/>
      <c r="G15" s="182"/>
      <c r="H15" s="183"/>
      <c r="I15" s="182"/>
      <c r="J15" s="182"/>
      <c r="K15" s="277"/>
      <c r="L15" s="277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6"/>
      <c r="D16" s="181"/>
      <c r="E16" s="181"/>
      <c r="F16" s="188"/>
      <c r="G16" s="188"/>
      <c r="H16" s="189"/>
      <c r="I16" s="188"/>
      <c r="J16" s="188"/>
      <c r="K16" s="282"/>
      <c r="L16" s="282"/>
      <c r="M16" s="184"/>
      <c r="N16" s="152"/>
      <c r="O16" s="152"/>
      <c r="P16" s="152"/>
    </row>
    <row r="17" spans="1:16" x14ac:dyDescent="0.25">
      <c r="A17" s="181"/>
      <c r="B17" s="187"/>
      <c r="C17" s="276"/>
      <c r="D17" s="181"/>
      <c r="E17" s="181"/>
      <c r="F17" s="188"/>
      <c r="G17" s="188"/>
      <c r="H17" s="189"/>
      <c r="I17" s="188"/>
      <c r="J17" s="188"/>
      <c r="K17" s="282"/>
      <c r="L17" s="282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6"/>
      <c r="D18" s="181"/>
      <c r="E18" s="181"/>
      <c r="F18" s="188"/>
      <c r="G18" s="188"/>
      <c r="H18" s="189"/>
      <c r="I18" s="188"/>
      <c r="J18" s="188"/>
      <c r="K18" s="282"/>
      <c r="L18" s="282"/>
      <c r="M18" s="184"/>
      <c r="N18" s="152"/>
      <c r="O18" s="152"/>
      <c r="P18" s="152"/>
    </row>
    <row r="19" spans="1:16" x14ac:dyDescent="0.25">
      <c r="A19" s="181"/>
      <c r="B19" s="187"/>
      <c r="C19" s="286"/>
      <c r="D19" s="181"/>
      <c r="E19" s="181"/>
      <c r="F19" s="188"/>
      <c r="G19" s="188"/>
      <c r="H19" s="189"/>
      <c r="I19" s="188"/>
      <c r="J19" s="188"/>
      <c r="K19" s="282"/>
      <c r="L19" s="282"/>
      <c r="M19" s="184"/>
      <c r="N19" s="152"/>
      <c r="O19" s="152"/>
      <c r="P19" s="152"/>
    </row>
    <row r="20" spans="1:16" x14ac:dyDescent="0.25">
      <c r="A20" s="181"/>
      <c r="B20" s="187"/>
      <c r="C20" s="286"/>
      <c r="D20" s="181"/>
      <c r="E20" s="181"/>
      <c r="F20" s="181"/>
      <c r="G20" s="181"/>
      <c r="H20" s="191"/>
      <c r="I20" s="181"/>
      <c r="J20" s="181"/>
      <c r="K20" s="283"/>
      <c r="L20" s="283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149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19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190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312">
        <f>SUM(M13:M19)</f>
        <v>0</v>
      </c>
      <c r="N24" s="108"/>
      <c r="O24" s="108"/>
      <c r="P24" s="108"/>
    </row>
    <row r="25" spans="1:16" x14ac:dyDescent="0.25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192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207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208</v>
      </c>
      <c r="L33" s="390"/>
      <c r="M33" s="390"/>
      <c r="N33" s="108"/>
      <c r="O33" s="108"/>
      <c r="P33" s="108"/>
    </row>
  </sheetData>
  <mergeCells count="25">
    <mergeCell ref="K32:M32"/>
    <mergeCell ref="K33:M33"/>
    <mergeCell ref="F24:F25"/>
    <mergeCell ref="G24:G25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3"/>
  <sheetViews>
    <sheetView topLeftCell="A10" zoomScale="80" zoomScaleNormal="80" workbookViewId="0">
      <selection activeCell="M13" sqref="M13"/>
    </sheetView>
  </sheetViews>
  <sheetFormatPr defaultRowHeight="15" x14ac:dyDescent="0.25"/>
  <cols>
    <col min="2" max="2" width="29.85546875" customWidth="1"/>
    <col min="3" max="3" width="21" customWidth="1"/>
    <col min="4" max="4" width="10" customWidth="1"/>
    <col min="6" max="6" width="11.5703125" customWidth="1"/>
    <col min="8" max="8" width="13.7109375" customWidth="1"/>
    <col min="9" max="9" width="7.5703125" customWidth="1"/>
    <col min="10" max="10" width="28.28515625" customWidth="1"/>
    <col min="11" max="11" width="16.42578125" customWidth="1"/>
    <col min="12" max="12" width="16.5703125" customWidth="1"/>
    <col min="13" max="13" width="14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175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200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ht="14.45" customHeight="1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ht="30.75" customHeight="1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84"/>
      <c r="D12" s="174"/>
      <c r="E12" s="174"/>
      <c r="F12" s="174"/>
      <c r="G12" s="174"/>
      <c r="H12" s="194"/>
      <c r="I12" s="174"/>
      <c r="J12" s="174"/>
      <c r="K12" s="281"/>
      <c r="L12" s="281"/>
      <c r="M12" s="174"/>
      <c r="N12" s="152"/>
      <c r="O12" s="152"/>
      <c r="P12" s="152"/>
    </row>
    <row r="13" spans="1:16" x14ac:dyDescent="0.25">
      <c r="A13" s="181">
        <v>1</v>
      </c>
      <c r="B13" s="151" t="s">
        <v>212</v>
      </c>
      <c r="C13" s="276">
        <v>8100126842321000</v>
      </c>
      <c r="D13" s="181" t="s">
        <v>78</v>
      </c>
      <c r="E13" s="181" t="s">
        <v>198</v>
      </c>
      <c r="F13" s="182">
        <v>0</v>
      </c>
      <c r="G13" s="182">
        <v>0</v>
      </c>
      <c r="H13" s="183">
        <v>52478500</v>
      </c>
      <c r="I13" s="182">
        <v>0</v>
      </c>
      <c r="J13" s="182" t="s">
        <v>213</v>
      </c>
      <c r="K13" s="277">
        <v>44140</v>
      </c>
      <c r="L13" s="277">
        <v>45866</v>
      </c>
      <c r="M13" s="184">
        <v>0</v>
      </c>
      <c r="N13" s="152"/>
      <c r="O13" s="152"/>
      <c r="P13" s="152"/>
    </row>
    <row r="14" spans="1:16" x14ac:dyDescent="0.25">
      <c r="A14" s="181"/>
      <c r="B14" s="151"/>
      <c r="C14" s="276"/>
      <c r="D14" s="181"/>
      <c r="E14" s="181"/>
      <c r="F14" s="182"/>
      <c r="G14" s="182"/>
      <c r="H14" s="183"/>
      <c r="I14" s="182"/>
      <c r="J14" s="182"/>
      <c r="K14" s="277"/>
      <c r="L14" s="277"/>
      <c r="M14" s="184"/>
      <c r="N14" s="152"/>
      <c r="O14" s="152"/>
      <c r="P14" s="152"/>
    </row>
    <row r="15" spans="1:16" ht="45" x14ac:dyDescent="0.25">
      <c r="A15" s="132" t="s">
        <v>38</v>
      </c>
      <c r="B15" s="195" t="s">
        <v>87</v>
      </c>
      <c r="C15" s="285"/>
      <c r="D15" s="196"/>
      <c r="E15" s="196"/>
      <c r="F15" s="182"/>
      <c r="G15" s="182"/>
      <c r="H15" s="183"/>
      <c r="I15" s="182"/>
      <c r="J15" s="182"/>
      <c r="K15" s="277"/>
      <c r="L15" s="277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6"/>
      <c r="D16" s="181"/>
      <c r="E16" s="181"/>
      <c r="F16" s="188"/>
      <c r="G16" s="188"/>
      <c r="H16" s="189"/>
      <c r="I16" s="188"/>
      <c r="J16" s="188"/>
      <c r="K16" s="282"/>
      <c r="L16" s="282"/>
      <c r="M16" s="184"/>
      <c r="N16" s="152"/>
      <c r="O16" s="152"/>
      <c r="P16" s="152"/>
    </row>
    <row r="17" spans="1:16" x14ac:dyDescent="0.25">
      <c r="A17" s="181"/>
      <c r="B17" s="187"/>
      <c r="C17" s="276"/>
      <c r="D17" s="181"/>
      <c r="E17" s="181"/>
      <c r="F17" s="188"/>
      <c r="G17" s="188"/>
      <c r="H17" s="189"/>
      <c r="I17" s="188"/>
      <c r="J17" s="188"/>
      <c r="K17" s="282"/>
      <c r="L17" s="282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6"/>
      <c r="D18" s="181"/>
      <c r="E18" s="181"/>
      <c r="F18" s="188"/>
      <c r="G18" s="188"/>
      <c r="H18" s="189"/>
      <c r="I18" s="188"/>
      <c r="J18" s="188"/>
      <c r="K18" s="282"/>
      <c r="L18" s="282"/>
      <c r="M18" s="184"/>
      <c r="N18" s="152"/>
      <c r="O18" s="152"/>
      <c r="P18" s="152"/>
    </row>
    <row r="19" spans="1:16" x14ac:dyDescent="0.25">
      <c r="A19" s="181"/>
      <c r="B19" s="187"/>
      <c r="C19" s="286"/>
      <c r="D19" s="181"/>
      <c r="E19" s="181"/>
      <c r="F19" s="188"/>
      <c r="G19" s="188"/>
      <c r="H19" s="189"/>
      <c r="I19" s="188"/>
      <c r="J19" s="188"/>
      <c r="K19" s="188"/>
      <c r="L19" s="188"/>
      <c r="M19" s="184"/>
      <c r="N19" s="152"/>
      <c r="O19" s="152"/>
      <c r="P19" s="152"/>
    </row>
    <row r="20" spans="1:16" x14ac:dyDescent="0.25">
      <c r="A20" s="181"/>
      <c r="B20" s="187"/>
      <c r="C20" s="286"/>
      <c r="D20" s="181"/>
      <c r="E20" s="181"/>
      <c r="F20" s="181"/>
      <c r="G20" s="181"/>
      <c r="H20" s="191"/>
      <c r="I20" s="181"/>
      <c r="J20" s="181"/>
      <c r="K20" s="181"/>
      <c r="L20" s="181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276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286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286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148" t="s">
        <v>143</v>
      </c>
      <c r="N24" s="108"/>
      <c r="O24" s="108"/>
      <c r="P24" s="108"/>
    </row>
    <row r="25" spans="1:16" x14ac:dyDescent="0.25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192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207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208</v>
      </c>
      <c r="L33" s="390"/>
      <c r="M33" s="390"/>
      <c r="N33" s="108"/>
      <c r="O33" s="108"/>
      <c r="P33" s="108"/>
    </row>
  </sheetData>
  <mergeCells count="25">
    <mergeCell ref="K32:M32"/>
    <mergeCell ref="K33:M33"/>
    <mergeCell ref="F24:F25"/>
    <mergeCell ref="G24:G25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3"/>
  <sheetViews>
    <sheetView zoomScale="60" zoomScaleNormal="60" workbookViewId="0">
      <selection activeCell="D14" sqref="D14"/>
    </sheetView>
  </sheetViews>
  <sheetFormatPr defaultRowHeight="15" x14ac:dyDescent="0.25"/>
  <cols>
    <col min="2" max="2" width="29.85546875" customWidth="1"/>
    <col min="3" max="3" width="21.5703125" bestFit="1" customWidth="1"/>
    <col min="4" max="4" width="14" customWidth="1"/>
    <col min="5" max="5" width="26.42578125" customWidth="1"/>
    <col min="6" max="6" width="14.5703125" customWidth="1"/>
    <col min="8" max="8" width="18.28515625" customWidth="1"/>
    <col min="9" max="9" width="8.140625" customWidth="1"/>
    <col min="10" max="10" width="30.28515625" customWidth="1"/>
    <col min="11" max="11" width="16.42578125" customWidth="1"/>
    <col min="12" max="12" width="23.28515625" customWidth="1"/>
    <col min="13" max="13" width="24.85546875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176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200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84"/>
      <c r="D12" s="174"/>
      <c r="E12" s="174"/>
      <c r="F12" s="174"/>
      <c r="G12" s="174"/>
      <c r="H12" s="194"/>
      <c r="I12" s="174"/>
      <c r="J12" s="174"/>
      <c r="K12" s="174" cm="1">
        <f t="array" aca="1" ref="K12" ca="1">K12:L19</f>
        <v>0</v>
      </c>
      <c r="L12" s="174"/>
      <c r="M12" s="174"/>
      <c r="N12" s="152"/>
      <c r="O12" s="152"/>
      <c r="P12" s="152"/>
    </row>
    <row r="13" spans="1:16" x14ac:dyDescent="0.25">
      <c r="A13" s="181">
        <v>1</v>
      </c>
      <c r="B13" s="151" t="s">
        <v>221</v>
      </c>
      <c r="C13" s="276">
        <v>8100126840471000</v>
      </c>
      <c r="D13" s="181" t="s">
        <v>286</v>
      </c>
      <c r="E13" s="191" t="s">
        <v>198</v>
      </c>
      <c r="F13" s="182"/>
      <c r="G13" s="182"/>
      <c r="H13" s="183">
        <v>135556104</v>
      </c>
      <c r="I13" s="182"/>
      <c r="J13" s="182" t="s">
        <v>202</v>
      </c>
      <c r="K13" s="277">
        <v>44140</v>
      </c>
      <c r="L13" s="277">
        <v>45867</v>
      </c>
      <c r="M13" s="184">
        <v>0</v>
      </c>
      <c r="N13" s="152"/>
      <c r="O13" s="152"/>
      <c r="P13" s="152"/>
    </row>
    <row r="14" spans="1:16" x14ac:dyDescent="0.25">
      <c r="A14" s="181"/>
      <c r="B14" s="151"/>
      <c r="C14" s="276"/>
      <c r="D14" s="181"/>
      <c r="E14" s="181"/>
      <c r="F14" s="182"/>
      <c r="G14" s="182"/>
      <c r="H14" s="183"/>
      <c r="I14" s="182"/>
      <c r="J14" s="182"/>
      <c r="K14" s="277"/>
      <c r="L14" s="277"/>
      <c r="M14" s="184"/>
      <c r="N14" s="152"/>
      <c r="O14" s="152"/>
      <c r="P14" s="152"/>
    </row>
    <row r="15" spans="1:16" ht="45" x14ac:dyDescent="0.25">
      <c r="A15" s="132" t="s">
        <v>38</v>
      </c>
      <c r="B15" s="195" t="s">
        <v>87</v>
      </c>
      <c r="C15" s="285"/>
      <c r="D15" s="196"/>
      <c r="E15" s="196"/>
      <c r="F15" s="182"/>
      <c r="G15" s="182"/>
      <c r="H15" s="183"/>
      <c r="I15" s="182"/>
      <c r="J15" s="182"/>
      <c r="K15" s="277"/>
      <c r="L15" s="277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6"/>
      <c r="D16" s="181"/>
      <c r="E16" s="181"/>
      <c r="F16" s="188"/>
      <c r="G16" s="188"/>
      <c r="H16" s="189"/>
      <c r="I16" s="188"/>
      <c r="J16" s="188"/>
      <c r="K16" s="282"/>
      <c r="L16" s="282"/>
      <c r="M16" s="184"/>
      <c r="N16" s="152"/>
      <c r="O16" s="152"/>
      <c r="P16" s="152"/>
    </row>
    <row r="17" spans="1:16" x14ac:dyDescent="0.25">
      <c r="A17" s="181"/>
      <c r="B17" s="187"/>
      <c r="C17" s="276"/>
      <c r="D17" s="181"/>
      <c r="E17" s="181"/>
      <c r="F17" s="188"/>
      <c r="G17" s="188"/>
      <c r="H17" s="189"/>
      <c r="I17" s="188"/>
      <c r="J17" s="188"/>
      <c r="K17" s="282"/>
      <c r="L17" s="282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6"/>
      <c r="D18" s="181"/>
      <c r="E18" s="181"/>
      <c r="F18" s="188"/>
      <c r="G18" s="188"/>
      <c r="H18" s="189"/>
      <c r="I18" s="188"/>
      <c r="J18" s="188"/>
      <c r="K18" s="282"/>
      <c r="L18" s="282"/>
      <c r="M18" s="184"/>
      <c r="N18" s="152"/>
      <c r="O18" s="152"/>
      <c r="P18" s="152"/>
    </row>
    <row r="19" spans="1:16" x14ac:dyDescent="0.25">
      <c r="A19" s="181"/>
      <c r="B19" s="187"/>
      <c r="C19" s="286"/>
      <c r="D19" s="181"/>
      <c r="E19" s="181"/>
      <c r="F19" s="188"/>
      <c r="G19" s="188"/>
      <c r="H19" s="189"/>
      <c r="I19" s="188"/>
      <c r="J19" s="188"/>
      <c r="K19" s="282"/>
      <c r="L19" s="282"/>
      <c r="M19" s="184"/>
      <c r="N19" s="152"/>
      <c r="O19" s="152"/>
      <c r="P19" s="152"/>
    </row>
    <row r="20" spans="1:16" x14ac:dyDescent="0.25">
      <c r="A20" s="181"/>
      <c r="B20" s="187"/>
      <c r="C20" s="190"/>
      <c r="D20" s="181"/>
      <c r="E20" s="181"/>
      <c r="F20" s="181"/>
      <c r="G20" s="181"/>
      <c r="H20" s="191"/>
      <c r="I20" s="181"/>
      <c r="J20" s="181"/>
      <c r="K20" s="181"/>
      <c r="L20" s="181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149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19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190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148" t="s">
        <v>143</v>
      </c>
      <c r="N24" s="108"/>
      <c r="O24" s="108"/>
      <c r="P24" s="108"/>
    </row>
    <row r="25" spans="1:16" x14ac:dyDescent="0.25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191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222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223</v>
      </c>
      <c r="L33" s="390"/>
      <c r="M33" s="390"/>
      <c r="N33" s="108"/>
      <c r="O33" s="108"/>
      <c r="P33" s="108"/>
    </row>
  </sheetData>
  <mergeCells count="25">
    <mergeCell ref="K32:M32"/>
    <mergeCell ref="K33:M33"/>
    <mergeCell ref="F24:F25"/>
    <mergeCell ref="G24:G25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3"/>
  <sheetViews>
    <sheetView topLeftCell="A7" zoomScale="80" zoomScaleNormal="80" workbookViewId="0">
      <selection activeCell="D14" sqref="D14"/>
    </sheetView>
  </sheetViews>
  <sheetFormatPr defaultRowHeight="15" x14ac:dyDescent="0.25"/>
  <cols>
    <col min="2" max="2" width="29.85546875" customWidth="1"/>
    <col min="3" max="3" width="21.5703125" bestFit="1" customWidth="1"/>
    <col min="4" max="4" width="14" customWidth="1"/>
    <col min="5" max="5" width="26.140625" customWidth="1"/>
    <col min="6" max="6" width="11" customWidth="1"/>
    <col min="8" max="8" width="16.5703125" bestFit="1" customWidth="1"/>
    <col min="9" max="9" width="8.85546875" customWidth="1"/>
    <col min="10" max="10" width="29.85546875" customWidth="1"/>
    <col min="11" max="11" width="12.7109375" customWidth="1"/>
    <col min="12" max="12" width="15" customWidth="1"/>
    <col min="13" max="13" width="24.85546875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252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200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ht="33.75" customHeight="1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84"/>
      <c r="D12" s="174"/>
      <c r="E12" s="174"/>
      <c r="F12" s="174"/>
      <c r="G12" s="174"/>
      <c r="I12" s="174"/>
      <c r="J12" s="174"/>
      <c r="K12" s="281"/>
      <c r="L12" s="281"/>
      <c r="M12" s="174"/>
      <c r="N12" s="152"/>
      <c r="O12" s="152"/>
      <c r="P12" s="152"/>
    </row>
    <row r="13" spans="1:16" ht="21" customHeight="1" x14ac:dyDescent="0.25">
      <c r="A13" s="181">
        <v>1</v>
      </c>
      <c r="B13" s="151" t="s">
        <v>224</v>
      </c>
      <c r="C13" s="276">
        <v>8100126840721000</v>
      </c>
      <c r="D13" s="181" t="s">
        <v>286</v>
      </c>
      <c r="E13" s="191" t="s">
        <v>198</v>
      </c>
      <c r="F13" s="182">
        <v>0</v>
      </c>
      <c r="G13" s="182">
        <v>0</v>
      </c>
      <c r="H13" s="306">
        <v>43977500</v>
      </c>
      <c r="I13" s="182">
        <v>0</v>
      </c>
      <c r="J13" s="182" t="s">
        <v>202</v>
      </c>
      <c r="K13" s="277">
        <v>44140</v>
      </c>
      <c r="L13" s="277">
        <v>45847</v>
      </c>
      <c r="M13" s="314">
        <v>17540000</v>
      </c>
      <c r="N13" s="152"/>
      <c r="O13" s="152"/>
      <c r="P13" s="152"/>
    </row>
    <row r="14" spans="1:16" x14ac:dyDescent="0.25">
      <c r="A14" s="181"/>
      <c r="B14" s="151"/>
      <c r="C14" s="276"/>
      <c r="D14" s="181"/>
      <c r="E14" s="181"/>
      <c r="F14" s="182"/>
      <c r="G14" s="182"/>
      <c r="H14" s="302"/>
      <c r="I14" s="182"/>
      <c r="J14" s="182"/>
      <c r="K14" s="277"/>
      <c r="L14" s="277"/>
      <c r="M14" s="184"/>
      <c r="N14" s="152"/>
      <c r="O14" s="152"/>
      <c r="P14" s="152"/>
    </row>
    <row r="15" spans="1:16" ht="45" x14ac:dyDescent="0.25">
      <c r="A15" s="132" t="s">
        <v>38</v>
      </c>
      <c r="B15" s="195" t="s">
        <v>87</v>
      </c>
      <c r="C15" s="285"/>
      <c r="D15" s="196"/>
      <c r="E15" s="196"/>
      <c r="F15" s="182"/>
      <c r="G15" s="182"/>
      <c r="H15" s="302"/>
      <c r="I15" s="182"/>
      <c r="J15" s="182"/>
      <c r="K15" s="277"/>
      <c r="L15" s="277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6"/>
      <c r="D16" s="181"/>
      <c r="E16" s="181"/>
      <c r="F16" s="188"/>
      <c r="G16" s="188"/>
      <c r="H16" s="303"/>
      <c r="I16" s="188"/>
      <c r="J16" s="188"/>
      <c r="K16" s="282"/>
      <c r="L16" s="282"/>
      <c r="M16" s="184"/>
      <c r="N16" s="152"/>
      <c r="O16" s="152"/>
      <c r="P16" s="152"/>
    </row>
    <row r="17" spans="1:16" x14ac:dyDescent="0.25">
      <c r="A17" s="181"/>
      <c r="B17" s="187"/>
      <c r="C17" s="276"/>
      <c r="D17" s="181"/>
      <c r="E17" s="181"/>
      <c r="F17" s="188"/>
      <c r="G17" s="300"/>
      <c r="H17" s="303"/>
      <c r="I17" s="301"/>
      <c r="J17" s="188"/>
      <c r="K17" s="282"/>
      <c r="L17" s="282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6"/>
      <c r="D18" s="181"/>
      <c r="E18" s="181"/>
      <c r="F18" s="188" t="s">
        <v>251</v>
      </c>
      <c r="G18" s="188"/>
      <c r="H18" s="304"/>
      <c r="I18" s="188"/>
      <c r="J18" s="188"/>
      <c r="K18" s="188"/>
      <c r="L18" s="188"/>
      <c r="M18" s="184"/>
      <c r="N18" s="152"/>
      <c r="O18" s="152"/>
      <c r="P18" s="152"/>
    </row>
    <row r="19" spans="1:16" x14ac:dyDescent="0.25">
      <c r="A19" s="181"/>
      <c r="B19" s="187"/>
      <c r="C19" s="286"/>
      <c r="D19" s="181"/>
      <c r="E19" s="181"/>
      <c r="F19" s="188"/>
      <c r="G19" s="188"/>
      <c r="H19" s="303"/>
      <c r="I19" s="188"/>
      <c r="J19" s="188"/>
      <c r="K19" s="188"/>
      <c r="L19" s="188"/>
      <c r="M19" s="184"/>
      <c r="N19" s="152"/>
      <c r="O19" s="152"/>
      <c r="P19" s="152"/>
    </row>
    <row r="20" spans="1:16" x14ac:dyDescent="0.25">
      <c r="A20" s="181"/>
      <c r="B20" s="187"/>
      <c r="C20" s="190"/>
      <c r="D20" s="181"/>
      <c r="E20" s="181"/>
      <c r="F20" s="181"/>
      <c r="G20" s="181"/>
      <c r="H20" s="305"/>
      <c r="I20" s="181"/>
      <c r="J20" s="181"/>
      <c r="K20" s="181"/>
      <c r="L20" s="181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149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19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190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313">
        <f>SUM(M13:M20)</f>
        <v>17540000</v>
      </c>
      <c r="N24" s="108"/>
      <c r="O24" s="108"/>
      <c r="P24" s="108"/>
    </row>
    <row r="25" spans="1:16" x14ac:dyDescent="0.25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191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222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223</v>
      </c>
      <c r="L33" s="390"/>
      <c r="M33" s="390"/>
      <c r="N33" s="108"/>
      <c r="O33" s="108"/>
      <c r="P33" s="108"/>
    </row>
  </sheetData>
  <mergeCells count="25">
    <mergeCell ref="K32:M32"/>
    <mergeCell ref="K33:M33"/>
    <mergeCell ref="F24:F25"/>
    <mergeCell ref="G24:G25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3"/>
  <sheetViews>
    <sheetView topLeftCell="A7" zoomScale="80" zoomScaleNormal="80" workbookViewId="0">
      <selection activeCell="D14" sqref="D14"/>
    </sheetView>
  </sheetViews>
  <sheetFormatPr defaultRowHeight="15" x14ac:dyDescent="0.25"/>
  <cols>
    <col min="2" max="2" width="29.85546875" customWidth="1"/>
    <col min="3" max="3" width="22.28515625" customWidth="1"/>
    <col min="4" max="4" width="9.85546875" customWidth="1"/>
    <col min="5" max="5" width="11.85546875" customWidth="1"/>
    <col min="6" max="6" width="12.42578125" customWidth="1"/>
    <col min="8" max="8" width="13.7109375" customWidth="1"/>
    <col min="9" max="9" width="9.140625" customWidth="1"/>
    <col min="10" max="10" width="29.140625" customWidth="1"/>
    <col min="11" max="11" width="13.140625" customWidth="1"/>
    <col min="12" max="12" width="14.42578125" customWidth="1"/>
    <col min="13" max="13" width="15.5703125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177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200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ht="27" customHeight="1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84"/>
      <c r="D12" s="174"/>
      <c r="E12" s="174"/>
      <c r="F12" s="174"/>
      <c r="G12" s="174"/>
      <c r="H12" s="194"/>
      <c r="I12" s="174"/>
      <c r="J12" s="174"/>
      <c r="K12" s="281"/>
      <c r="L12" s="281"/>
      <c r="M12" s="174"/>
      <c r="N12" s="152"/>
      <c r="O12" s="152"/>
      <c r="P12" s="152"/>
    </row>
    <row r="13" spans="1:16" x14ac:dyDescent="0.25">
      <c r="A13" s="181">
        <v>1</v>
      </c>
      <c r="B13" s="151" t="s">
        <v>201</v>
      </c>
      <c r="C13" s="276">
        <v>8100126841151000</v>
      </c>
      <c r="D13" s="181" t="s">
        <v>286</v>
      </c>
      <c r="E13" s="181" t="s">
        <v>198</v>
      </c>
      <c r="F13" s="182">
        <v>0</v>
      </c>
      <c r="G13" s="182">
        <v>0</v>
      </c>
      <c r="H13" s="183">
        <v>0</v>
      </c>
      <c r="I13" s="182">
        <v>0</v>
      </c>
      <c r="J13" s="182" t="s">
        <v>202</v>
      </c>
      <c r="K13" s="277">
        <v>44140</v>
      </c>
      <c r="L13" s="277">
        <v>45869</v>
      </c>
      <c r="M13" s="184"/>
      <c r="N13" s="152"/>
      <c r="O13" s="152"/>
      <c r="P13" s="152"/>
    </row>
    <row r="14" spans="1:16" x14ac:dyDescent="0.25">
      <c r="A14" s="181"/>
      <c r="B14" s="151"/>
      <c r="C14" s="276"/>
      <c r="D14" s="181"/>
      <c r="E14" s="181"/>
      <c r="F14" s="182"/>
      <c r="G14" s="182"/>
      <c r="H14" s="183"/>
      <c r="I14" s="182"/>
      <c r="J14" s="182"/>
      <c r="K14" s="277"/>
      <c r="L14" s="277"/>
      <c r="M14" s="184"/>
      <c r="N14" s="152"/>
      <c r="O14" s="152"/>
      <c r="P14" s="152"/>
    </row>
    <row r="15" spans="1:16" ht="45" x14ac:dyDescent="0.25">
      <c r="A15" s="132" t="s">
        <v>38</v>
      </c>
      <c r="B15" s="195" t="s">
        <v>87</v>
      </c>
      <c r="C15" s="285"/>
      <c r="D15" s="196"/>
      <c r="E15" s="196"/>
      <c r="F15" s="182"/>
      <c r="G15" s="182"/>
      <c r="H15" s="183"/>
      <c r="I15" s="182"/>
      <c r="J15" s="182"/>
      <c r="K15" s="277"/>
      <c r="L15" s="277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6"/>
      <c r="D16" s="181"/>
      <c r="E16" s="181"/>
      <c r="F16" s="188"/>
      <c r="G16" s="188"/>
      <c r="H16" s="189"/>
      <c r="I16" s="188"/>
      <c r="J16" s="188"/>
      <c r="K16" s="282"/>
      <c r="L16" s="282"/>
      <c r="M16" s="184"/>
      <c r="N16" s="152"/>
      <c r="O16" s="152"/>
      <c r="P16" s="152"/>
    </row>
    <row r="17" spans="1:16" x14ac:dyDescent="0.25">
      <c r="A17" s="181"/>
      <c r="B17" s="187"/>
      <c r="C17" s="276"/>
      <c r="D17" s="181"/>
      <c r="E17" s="181"/>
      <c r="F17" s="188"/>
      <c r="G17" s="188"/>
      <c r="H17" s="189"/>
      <c r="I17" s="188"/>
      <c r="J17" s="188"/>
      <c r="K17" s="282"/>
      <c r="L17" s="282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6"/>
      <c r="D18" s="181"/>
      <c r="E18" s="181"/>
      <c r="F18" s="188"/>
      <c r="G18" s="188"/>
      <c r="H18" s="189"/>
      <c r="I18" s="188"/>
      <c r="J18" s="188"/>
      <c r="K18" s="282"/>
      <c r="L18" s="282"/>
      <c r="M18" s="184"/>
      <c r="N18" s="152"/>
      <c r="O18" s="152"/>
      <c r="P18" s="152"/>
    </row>
    <row r="19" spans="1:16" x14ac:dyDescent="0.25">
      <c r="A19" s="181"/>
      <c r="B19" s="187"/>
      <c r="C19" s="286"/>
      <c r="D19" s="181"/>
      <c r="E19" s="181"/>
      <c r="F19" s="188"/>
      <c r="G19" s="188"/>
      <c r="H19" s="189"/>
      <c r="I19" s="188"/>
      <c r="J19" s="188"/>
      <c r="K19" s="282"/>
      <c r="L19" s="282"/>
      <c r="M19" s="184"/>
      <c r="N19" s="152"/>
      <c r="O19" s="152"/>
      <c r="P19" s="152"/>
    </row>
    <row r="20" spans="1:16" x14ac:dyDescent="0.25">
      <c r="A20" s="181"/>
      <c r="B20" s="187"/>
      <c r="C20" s="286"/>
      <c r="D20" s="181"/>
      <c r="E20" s="181"/>
      <c r="F20" s="181"/>
      <c r="G20" s="181"/>
      <c r="H20" s="191"/>
      <c r="I20" s="181"/>
      <c r="J20" s="181"/>
      <c r="K20" s="283"/>
      <c r="L20" s="283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149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19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190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148" t="s">
        <v>143</v>
      </c>
      <c r="N24" s="108"/>
      <c r="O24" s="108"/>
      <c r="P24" s="108"/>
    </row>
    <row r="25" spans="1:16" x14ac:dyDescent="0.25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190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203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204</v>
      </c>
      <c r="L33" s="390"/>
      <c r="M33" s="390"/>
      <c r="N33" s="108"/>
      <c r="O33" s="108"/>
      <c r="P33" s="108"/>
    </row>
  </sheetData>
  <mergeCells count="25">
    <mergeCell ref="K32:M32"/>
    <mergeCell ref="K33:M33"/>
    <mergeCell ref="F24:F25"/>
    <mergeCell ref="G24:G25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3"/>
  <sheetViews>
    <sheetView topLeftCell="B2" zoomScale="80" zoomScaleNormal="80" workbookViewId="0">
      <selection activeCell="D14" sqref="D14"/>
    </sheetView>
  </sheetViews>
  <sheetFormatPr defaultRowHeight="15" x14ac:dyDescent="0.25"/>
  <cols>
    <col min="2" max="2" width="29.85546875" customWidth="1"/>
    <col min="3" max="3" width="24.28515625" customWidth="1"/>
    <col min="4" max="4" width="10.28515625" customWidth="1"/>
    <col min="5" max="5" width="8.5703125" customWidth="1"/>
    <col min="6" max="6" width="12.28515625" customWidth="1"/>
    <col min="8" max="8" width="13.140625" customWidth="1"/>
    <col min="9" max="9" width="13.7109375" customWidth="1"/>
    <col min="10" max="10" width="29.28515625" customWidth="1"/>
    <col min="11" max="11" width="12" customWidth="1"/>
    <col min="12" max="12" width="14.7109375" customWidth="1"/>
    <col min="13" max="13" width="15.42578125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178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200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ht="27" customHeight="1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78"/>
      <c r="D12" s="174"/>
      <c r="E12" s="174"/>
      <c r="F12" s="174"/>
      <c r="G12" s="174"/>
      <c r="H12" s="194"/>
      <c r="I12" s="174"/>
      <c r="J12" s="174"/>
      <c r="K12" s="281"/>
      <c r="L12" s="281"/>
      <c r="M12" s="174"/>
      <c r="N12" s="152"/>
      <c r="O12" s="152"/>
      <c r="P12" s="152"/>
    </row>
    <row r="13" spans="1:16" x14ac:dyDescent="0.25">
      <c r="A13" s="181">
        <v>1</v>
      </c>
      <c r="B13" s="151" t="s">
        <v>197</v>
      </c>
      <c r="C13" s="276">
        <v>8100126841611000</v>
      </c>
      <c r="D13" s="181" t="s">
        <v>286</v>
      </c>
      <c r="E13" s="181" t="s">
        <v>198</v>
      </c>
      <c r="F13" s="182">
        <v>0</v>
      </c>
      <c r="G13" s="182">
        <v>0</v>
      </c>
      <c r="H13" s="183">
        <v>0</v>
      </c>
      <c r="I13" s="182">
        <v>0</v>
      </c>
      <c r="J13" s="182" t="s">
        <v>199</v>
      </c>
      <c r="K13" s="277">
        <v>44036</v>
      </c>
      <c r="L13" s="277">
        <v>45869</v>
      </c>
      <c r="M13" s="366">
        <f>F13+G13+H13+I13</f>
        <v>0</v>
      </c>
      <c r="N13" s="152"/>
      <c r="O13" s="152"/>
      <c r="P13" s="152"/>
    </row>
    <row r="14" spans="1:16" x14ac:dyDescent="0.25">
      <c r="A14" s="181"/>
      <c r="B14" s="151"/>
      <c r="C14" s="275"/>
      <c r="D14" s="181"/>
      <c r="E14" s="181"/>
      <c r="F14" s="182"/>
      <c r="G14" s="182"/>
      <c r="H14" s="183"/>
      <c r="I14" s="182"/>
      <c r="J14" s="182"/>
      <c r="K14" s="277"/>
      <c r="L14" s="277"/>
      <c r="M14" s="184"/>
      <c r="N14" s="152"/>
      <c r="O14" s="152"/>
      <c r="P14" s="152"/>
    </row>
    <row r="15" spans="1:16" ht="45" x14ac:dyDescent="0.25">
      <c r="A15" s="132" t="s">
        <v>38</v>
      </c>
      <c r="B15" s="195" t="s">
        <v>87</v>
      </c>
      <c r="C15" s="279"/>
      <c r="D15" s="196"/>
      <c r="E15" s="196"/>
      <c r="F15" s="182"/>
      <c r="G15" s="182"/>
      <c r="H15" s="183"/>
      <c r="I15" s="182"/>
      <c r="J15" s="182"/>
      <c r="K15" s="277"/>
      <c r="L15" s="277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5"/>
      <c r="D16" s="181"/>
      <c r="E16" s="181"/>
      <c r="F16" s="188"/>
      <c r="G16" s="188"/>
      <c r="H16" s="189"/>
      <c r="I16" s="188"/>
      <c r="J16" s="188"/>
      <c r="K16" s="282"/>
      <c r="L16" s="282"/>
      <c r="M16" s="184"/>
      <c r="N16" s="152"/>
      <c r="O16" s="152"/>
      <c r="P16" s="152"/>
    </row>
    <row r="17" spans="1:16" x14ac:dyDescent="0.25">
      <c r="A17" s="181"/>
      <c r="B17" s="187"/>
      <c r="C17" s="275"/>
      <c r="D17" s="181"/>
      <c r="E17" s="181"/>
      <c r="F17" s="188"/>
      <c r="G17" s="188"/>
      <c r="H17" s="189"/>
      <c r="I17" s="188"/>
      <c r="J17" s="188"/>
      <c r="K17" s="282"/>
      <c r="L17" s="282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5"/>
      <c r="D18" s="181"/>
      <c r="E18" s="181"/>
      <c r="F18" s="188"/>
      <c r="G18" s="188"/>
      <c r="H18" s="189"/>
      <c r="I18" s="188"/>
      <c r="J18" s="188"/>
      <c r="K18" s="282"/>
      <c r="L18" s="282"/>
      <c r="M18" s="184"/>
      <c r="N18" s="152"/>
      <c r="O18" s="152"/>
      <c r="P18" s="152"/>
    </row>
    <row r="19" spans="1:16" x14ac:dyDescent="0.25">
      <c r="A19" s="181"/>
      <c r="B19" s="187"/>
      <c r="C19" s="280"/>
      <c r="D19" s="181"/>
      <c r="E19" s="181"/>
      <c r="F19" s="188"/>
      <c r="G19" s="188"/>
      <c r="H19" s="189"/>
      <c r="I19" s="188"/>
      <c r="J19" s="188"/>
      <c r="K19" s="282"/>
      <c r="L19" s="282"/>
      <c r="M19" s="184"/>
      <c r="N19" s="152"/>
      <c r="O19" s="152"/>
      <c r="P19" s="152"/>
    </row>
    <row r="20" spans="1:16" x14ac:dyDescent="0.25">
      <c r="A20" s="181"/>
      <c r="B20" s="187"/>
      <c r="C20" s="280"/>
      <c r="D20" s="181"/>
      <c r="E20" s="181"/>
      <c r="F20" s="181"/>
      <c r="G20" s="181"/>
      <c r="H20" s="191"/>
      <c r="I20" s="181"/>
      <c r="J20" s="181"/>
      <c r="K20" s="283"/>
      <c r="L20" s="283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275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28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280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420"/>
      <c r="D24" s="388"/>
      <c r="E24" s="388"/>
      <c r="F24" s="388"/>
      <c r="G24" s="388"/>
      <c r="H24" s="388"/>
      <c r="I24" s="388"/>
      <c r="J24" s="148"/>
      <c r="K24" s="148"/>
      <c r="L24" s="148"/>
      <c r="M24" s="148">
        <f>SUM(M13:M19)</f>
        <v>0</v>
      </c>
      <c r="N24" s="108"/>
      <c r="O24" s="108"/>
      <c r="P24" s="108"/>
    </row>
    <row r="25" spans="1:16" x14ac:dyDescent="0.25">
      <c r="A25" s="403"/>
      <c r="B25" s="400"/>
      <c r="C25" s="421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190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203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204</v>
      </c>
      <c r="L33" s="390"/>
      <c r="M33" s="390"/>
      <c r="N33" s="108"/>
      <c r="O33" s="108"/>
      <c r="P33" s="108"/>
    </row>
  </sheetData>
  <mergeCells count="25">
    <mergeCell ref="K32:M32"/>
    <mergeCell ref="K33:M33"/>
    <mergeCell ref="F24:F25"/>
    <mergeCell ref="G24:G25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3"/>
  <sheetViews>
    <sheetView zoomScale="60" zoomScaleNormal="60" workbookViewId="0">
      <selection sqref="A1:P33"/>
    </sheetView>
  </sheetViews>
  <sheetFormatPr defaultRowHeight="15" x14ac:dyDescent="0.25"/>
  <cols>
    <col min="2" max="2" width="29.85546875" customWidth="1"/>
    <col min="3" max="3" width="19.5703125" bestFit="1" customWidth="1"/>
    <col min="4" max="4" width="10.28515625" customWidth="1"/>
    <col min="6" max="6" width="14.5703125" customWidth="1"/>
    <col min="8" max="8" width="12.85546875" customWidth="1"/>
    <col min="9" max="9" width="8" customWidth="1"/>
    <col min="10" max="10" width="27.42578125" customWidth="1"/>
    <col min="11" max="11" width="16.42578125" customWidth="1"/>
    <col min="12" max="12" width="23.28515625" customWidth="1"/>
    <col min="13" max="13" width="24.85546875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179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200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ht="28.5" customHeight="1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84"/>
      <c r="D12" s="174"/>
      <c r="E12" s="174"/>
      <c r="F12" s="174"/>
      <c r="G12" s="174"/>
      <c r="H12" s="194"/>
      <c r="I12" s="174"/>
      <c r="J12" s="174"/>
      <c r="K12" s="281"/>
      <c r="L12" s="281"/>
      <c r="M12" s="174"/>
      <c r="N12" s="152"/>
      <c r="O12" s="152"/>
      <c r="P12" s="152"/>
    </row>
    <row r="13" spans="1:16" x14ac:dyDescent="0.25">
      <c r="A13" s="181">
        <v>1</v>
      </c>
      <c r="B13" s="151" t="s">
        <v>225</v>
      </c>
      <c r="C13" s="276">
        <v>8100126841221000</v>
      </c>
      <c r="D13" s="181" t="s">
        <v>78</v>
      </c>
      <c r="E13" s="181" t="s">
        <v>226</v>
      </c>
      <c r="F13" s="182">
        <v>0</v>
      </c>
      <c r="G13" s="182">
        <v>0</v>
      </c>
      <c r="H13" s="183">
        <v>0</v>
      </c>
      <c r="I13" s="182">
        <v>0</v>
      </c>
      <c r="J13" s="182" t="s">
        <v>202</v>
      </c>
      <c r="K13" s="277">
        <v>44140</v>
      </c>
      <c r="L13" s="277">
        <v>45869</v>
      </c>
      <c r="M13" s="184">
        <v>0</v>
      </c>
      <c r="N13" s="152"/>
      <c r="O13" s="152"/>
      <c r="P13" s="152"/>
    </row>
    <row r="14" spans="1:16" x14ac:dyDescent="0.25">
      <c r="A14" s="181"/>
      <c r="B14" s="151"/>
      <c r="C14" s="276"/>
      <c r="D14" s="181"/>
      <c r="E14" s="181"/>
      <c r="F14" s="182"/>
      <c r="G14" s="182"/>
      <c r="H14" s="183"/>
      <c r="I14" s="182"/>
      <c r="J14" s="182"/>
      <c r="K14" s="277"/>
      <c r="L14" s="277"/>
      <c r="M14" s="184"/>
      <c r="N14" s="152"/>
      <c r="O14" s="152"/>
      <c r="P14" s="152"/>
    </row>
    <row r="15" spans="1:16" ht="45" x14ac:dyDescent="0.25">
      <c r="A15" s="132" t="s">
        <v>38</v>
      </c>
      <c r="B15" s="195" t="s">
        <v>87</v>
      </c>
      <c r="C15" s="285"/>
      <c r="D15" s="196"/>
      <c r="E15" s="196"/>
      <c r="F15" s="182"/>
      <c r="G15" s="182"/>
      <c r="H15" s="183"/>
      <c r="I15" s="182"/>
      <c r="J15" s="182"/>
      <c r="K15" s="277"/>
      <c r="L15" s="277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6"/>
      <c r="D16" s="181"/>
      <c r="E16" s="181"/>
      <c r="F16" s="188"/>
      <c r="G16" s="188"/>
      <c r="H16" s="189"/>
      <c r="I16" s="188"/>
      <c r="J16" s="188"/>
      <c r="K16" s="282"/>
      <c r="L16" s="282"/>
      <c r="M16" s="184"/>
      <c r="N16" s="152"/>
      <c r="O16" s="152"/>
      <c r="P16" s="152"/>
    </row>
    <row r="17" spans="1:16" x14ac:dyDescent="0.25">
      <c r="A17" s="181"/>
      <c r="B17" s="187"/>
      <c r="C17" s="276"/>
      <c r="D17" s="181"/>
      <c r="E17" s="181"/>
      <c r="F17" s="188"/>
      <c r="G17" s="188"/>
      <c r="H17" s="189"/>
      <c r="I17" s="188"/>
      <c r="J17" s="188"/>
      <c r="K17" s="282"/>
      <c r="L17" s="282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6"/>
      <c r="D18" s="181"/>
      <c r="E18" s="181"/>
      <c r="F18" s="188"/>
      <c r="G18" s="188"/>
      <c r="H18" s="189"/>
      <c r="I18" s="188"/>
      <c r="J18" s="188"/>
      <c r="K18" s="282"/>
      <c r="L18" s="282"/>
      <c r="M18" s="184"/>
      <c r="N18" s="152"/>
      <c r="O18" s="152"/>
      <c r="P18" s="152"/>
    </row>
    <row r="19" spans="1:16" x14ac:dyDescent="0.25">
      <c r="A19" s="181"/>
      <c r="B19" s="187"/>
      <c r="C19" s="286"/>
      <c r="D19" s="181"/>
      <c r="E19" s="181"/>
      <c r="F19" s="188"/>
      <c r="G19" s="188"/>
      <c r="H19" s="189"/>
      <c r="I19" s="188"/>
      <c r="J19" s="188"/>
      <c r="K19" s="282"/>
      <c r="L19" s="282"/>
      <c r="M19" s="184"/>
      <c r="N19" s="152"/>
      <c r="O19" s="152"/>
      <c r="P19" s="152"/>
    </row>
    <row r="20" spans="1:16" x14ac:dyDescent="0.25">
      <c r="A20" s="181"/>
      <c r="B20" s="187"/>
      <c r="C20" s="190"/>
      <c r="D20" s="181"/>
      <c r="E20" s="181"/>
      <c r="F20" s="181"/>
      <c r="G20" s="181"/>
      <c r="H20" s="191"/>
      <c r="I20" s="181"/>
      <c r="J20" s="181"/>
      <c r="K20" s="181"/>
      <c r="L20" s="181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149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19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190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148">
        <f>SUM(M12:M20)</f>
        <v>0</v>
      </c>
      <c r="N24" s="108"/>
      <c r="O24" s="108"/>
      <c r="P24" s="108"/>
    </row>
    <row r="25" spans="1:16" x14ac:dyDescent="0.25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190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227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204</v>
      </c>
      <c r="L33" s="390"/>
      <c r="M33" s="390"/>
      <c r="N33" s="108"/>
      <c r="O33" s="108"/>
      <c r="P33" s="108"/>
    </row>
  </sheetData>
  <mergeCells count="25">
    <mergeCell ref="K32:M32"/>
    <mergeCell ref="K33:M33"/>
    <mergeCell ref="F24:F25"/>
    <mergeCell ref="G24:G25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3"/>
  <sheetViews>
    <sheetView zoomScale="70" zoomScaleNormal="70" workbookViewId="0">
      <selection activeCell="D14" sqref="D14"/>
    </sheetView>
  </sheetViews>
  <sheetFormatPr defaultRowHeight="15" x14ac:dyDescent="0.25"/>
  <cols>
    <col min="2" max="2" width="29.85546875" customWidth="1"/>
    <col min="3" max="3" width="21.5703125" bestFit="1" customWidth="1"/>
    <col min="4" max="4" width="12.42578125" customWidth="1"/>
    <col min="5" max="5" width="11.140625" customWidth="1"/>
    <col min="6" max="6" width="14.140625" customWidth="1"/>
    <col min="7" max="7" width="13.140625" customWidth="1"/>
    <col min="8" max="8" width="17.5703125" customWidth="1"/>
    <col min="9" max="9" width="8.85546875" customWidth="1"/>
    <col min="10" max="10" width="31" customWidth="1"/>
    <col min="11" max="11" width="16.42578125" customWidth="1"/>
    <col min="12" max="12" width="23.28515625" customWidth="1"/>
    <col min="13" max="13" width="24.85546875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180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200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ht="32.25" customHeight="1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84"/>
      <c r="D12" s="174"/>
      <c r="E12" s="174"/>
      <c r="F12" s="174"/>
      <c r="G12" s="174"/>
      <c r="H12" s="194"/>
      <c r="I12" s="174"/>
      <c r="J12" s="174"/>
      <c r="K12" s="281"/>
      <c r="L12" s="281"/>
      <c r="M12" s="174"/>
      <c r="N12" s="152"/>
      <c r="O12" s="152"/>
      <c r="P12" s="152"/>
    </row>
    <row r="13" spans="1:16" x14ac:dyDescent="0.25">
      <c r="A13" s="181">
        <v>1</v>
      </c>
      <c r="B13" s="151" t="s">
        <v>228</v>
      </c>
      <c r="C13" s="276">
        <v>8100126865271000</v>
      </c>
      <c r="D13" s="181" t="s">
        <v>286</v>
      </c>
      <c r="E13" s="181" t="s">
        <v>198</v>
      </c>
      <c r="F13" s="182"/>
      <c r="G13" s="182"/>
      <c r="H13" s="183">
        <v>240128000</v>
      </c>
      <c r="I13" s="182"/>
      <c r="J13" s="182" t="s">
        <v>202</v>
      </c>
      <c r="K13" s="277">
        <v>44140</v>
      </c>
      <c r="L13" s="277">
        <v>45863</v>
      </c>
      <c r="M13" s="184">
        <v>0</v>
      </c>
      <c r="N13" s="152"/>
      <c r="O13" s="152"/>
      <c r="P13" s="152"/>
    </row>
    <row r="14" spans="1:16" x14ac:dyDescent="0.25">
      <c r="A14" s="181"/>
      <c r="B14" s="151"/>
      <c r="C14" s="276"/>
      <c r="D14" s="181"/>
      <c r="E14" s="181"/>
      <c r="F14" s="182"/>
      <c r="G14" s="182"/>
      <c r="H14" s="183"/>
      <c r="I14" s="182"/>
      <c r="J14" s="182"/>
      <c r="K14" s="277"/>
      <c r="L14" s="277"/>
      <c r="M14" s="184"/>
      <c r="N14" s="152"/>
      <c r="O14" s="152"/>
      <c r="P14" s="152"/>
    </row>
    <row r="15" spans="1:16" ht="45" x14ac:dyDescent="0.25">
      <c r="A15" s="132" t="s">
        <v>38</v>
      </c>
      <c r="B15" s="195" t="s">
        <v>87</v>
      </c>
      <c r="C15" s="285"/>
      <c r="D15" s="196"/>
      <c r="E15" s="196"/>
      <c r="F15" s="182"/>
      <c r="G15" s="182"/>
      <c r="H15" s="183"/>
      <c r="I15" s="182"/>
      <c r="J15" s="182"/>
      <c r="K15" s="277"/>
      <c r="L15" s="277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6"/>
      <c r="D16" s="181"/>
      <c r="E16" s="181"/>
      <c r="F16" s="188"/>
      <c r="G16" s="188"/>
      <c r="H16" s="189"/>
      <c r="I16" s="188"/>
      <c r="J16" s="188"/>
      <c r="K16" s="282"/>
      <c r="L16" s="282"/>
      <c r="M16" s="184"/>
      <c r="N16" s="152"/>
      <c r="O16" s="152"/>
      <c r="P16" s="152"/>
    </row>
    <row r="17" spans="1:16" x14ac:dyDescent="0.25">
      <c r="A17" s="181"/>
      <c r="B17" s="187"/>
      <c r="C17" s="276"/>
      <c r="D17" s="181"/>
      <c r="E17" s="181"/>
      <c r="F17" s="188"/>
      <c r="G17" s="188"/>
      <c r="H17" s="189"/>
      <c r="I17" s="188"/>
      <c r="J17" s="188"/>
      <c r="K17" s="282"/>
      <c r="L17" s="282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6"/>
      <c r="D18" s="181"/>
      <c r="E18" s="181"/>
      <c r="F18" s="188"/>
      <c r="G18" s="188"/>
      <c r="H18" s="189"/>
      <c r="I18" s="188"/>
      <c r="J18" s="188"/>
      <c r="K18" s="282"/>
      <c r="L18" s="282"/>
      <c r="M18" s="184"/>
      <c r="N18" s="152"/>
      <c r="O18" s="152"/>
      <c r="P18" s="152"/>
    </row>
    <row r="19" spans="1:16" x14ac:dyDescent="0.25">
      <c r="A19" s="181"/>
      <c r="B19" s="187"/>
      <c r="C19" s="286"/>
      <c r="D19" s="181"/>
      <c r="E19" s="181"/>
      <c r="F19" s="188"/>
      <c r="G19" s="188"/>
      <c r="H19" s="189"/>
      <c r="I19" s="188"/>
      <c r="J19" s="188"/>
      <c r="K19" s="282"/>
      <c r="L19" s="282"/>
      <c r="M19" s="184"/>
      <c r="N19" s="152"/>
      <c r="O19" s="152"/>
      <c r="P19" s="152"/>
    </row>
    <row r="20" spans="1:16" x14ac:dyDescent="0.25">
      <c r="A20" s="181"/>
      <c r="B20" s="187"/>
      <c r="C20" s="190"/>
      <c r="D20" s="181"/>
      <c r="E20" s="181"/>
      <c r="F20" s="181"/>
      <c r="G20" s="181"/>
      <c r="H20" s="191"/>
      <c r="I20" s="181"/>
      <c r="J20" s="181"/>
      <c r="K20" s="181"/>
      <c r="L20" s="181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149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19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190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148">
        <v>0</v>
      </c>
      <c r="N24" s="108"/>
      <c r="O24" s="108"/>
      <c r="P24" s="108"/>
    </row>
    <row r="25" spans="1:16" x14ac:dyDescent="0.25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189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229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230</v>
      </c>
      <c r="L33" s="390"/>
      <c r="M33" s="390"/>
      <c r="N33" s="108"/>
      <c r="O33" s="108"/>
      <c r="P33" s="108"/>
    </row>
  </sheetData>
  <mergeCells count="25">
    <mergeCell ref="K32:M32"/>
    <mergeCell ref="K33:M33"/>
    <mergeCell ref="F24:F25"/>
    <mergeCell ref="G24:G25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33"/>
  <sheetViews>
    <sheetView topLeftCell="A7" zoomScale="80" zoomScaleNormal="80" workbookViewId="0">
      <selection activeCell="D14" sqref="D14"/>
    </sheetView>
  </sheetViews>
  <sheetFormatPr defaultRowHeight="15" x14ac:dyDescent="0.25"/>
  <cols>
    <col min="2" max="2" width="29.85546875" customWidth="1"/>
    <col min="3" max="3" width="21.7109375" customWidth="1"/>
    <col min="4" max="4" width="12.42578125" customWidth="1"/>
    <col min="5" max="5" width="10.7109375" customWidth="1"/>
    <col min="6" max="6" width="14.5703125" customWidth="1"/>
    <col min="8" max="8" width="15.5703125" customWidth="1"/>
    <col min="9" max="9" width="11.5703125" customWidth="1"/>
    <col min="10" max="10" width="30.140625" customWidth="1"/>
    <col min="11" max="11" width="16.42578125" customWidth="1"/>
    <col min="12" max="12" width="23.28515625" customWidth="1"/>
    <col min="13" max="13" width="24.85546875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181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200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84"/>
      <c r="D12" s="174"/>
      <c r="E12" s="174"/>
      <c r="F12" s="174"/>
      <c r="G12" s="174"/>
      <c r="H12" s="194"/>
      <c r="I12" s="174"/>
      <c r="J12" s="174"/>
      <c r="K12" s="281"/>
      <c r="L12" s="281"/>
      <c r="M12" s="174"/>
      <c r="N12" s="152"/>
      <c r="O12" s="152"/>
      <c r="P12" s="152"/>
    </row>
    <row r="13" spans="1:16" x14ac:dyDescent="0.25">
      <c r="A13" s="181">
        <v>1</v>
      </c>
      <c r="B13" s="151" t="s">
        <v>231</v>
      </c>
      <c r="C13" s="276">
        <v>8100126841821000</v>
      </c>
      <c r="D13" s="181" t="s">
        <v>286</v>
      </c>
      <c r="E13" s="181" t="s">
        <v>198</v>
      </c>
      <c r="F13" s="182"/>
      <c r="G13" s="182"/>
      <c r="H13" s="183">
        <v>0</v>
      </c>
      <c r="I13" s="182"/>
      <c r="J13" s="182" t="s">
        <v>202</v>
      </c>
      <c r="K13" s="277">
        <v>44140</v>
      </c>
      <c r="L13" s="277"/>
      <c r="M13" s="184">
        <v>0</v>
      </c>
      <c r="N13" s="152"/>
      <c r="O13" s="152"/>
      <c r="P13" s="152"/>
    </row>
    <row r="14" spans="1:16" x14ac:dyDescent="0.25">
      <c r="A14" s="181"/>
      <c r="B14" s="151"/>
      <c r="C14" s="276"/>
      <c r="D14" s="181"/>
      <c r="E14" s="181"/>
      <c r="F14" s="182"/>
      <c r="G14" s="182"/>
      <c r="H14" s="183"/>
      <c r="I14" s="182"/>
      <c r="J14" s="182"/>
      <c r="K14" s="277"/>
      <c r="L14" s="277"/>
      <c r="M14" s="184"/>
      <c r="N14" s="152"/>
      <c r="O14" s="152"/>
      <c r="P14" s="152"/>
    </row>
    <row r="15" spans="1:16" ht="45" x14ac:dyDescent="0.25">
      <c r="A15" s="132" t="s">
        <v>38</v>
      </c>
      <c r="B15" s="195" t="s">
        <v>87</v>
      </c>
      <c r="C15" s="285"/>
      <c r="D15" s="196"/>
      <c r="E15" s="196"/>
      <c r="F15" s="182"/>
      <c r="G15" s="182"/>
      <c r="H15" s="183"/>
      <c r="I15" s="182"/>
      <c r="J15" s="182"/>
      <c r="K15" s="277"/>
      <c r="L15" s="277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6"/>
      <c r="D16" s="181"/>
      <c r="E16" s="181"/>
      <c r="F16" s="188"/>
      <c r="G16" s="188"/>
      <c r="H16" s="189"/>
      <c r="I16" s="188"/>
      <c r="J16" s="188"/>
      <c r="K16" s="282"/>
      <c r="L16" s="282"/>
      <c r="M16" s="184"/>
      <c r="N16" s="152"/>
      <c r="O16" s="152"/>
      <c r="P16" s="152"/>
    </row>
    <row r="17" spans="1:16" x14ac:dyDescent="0.25">
      <c r="A17" s="181"/>
      <c r="B17" s="187"/>
      <c r="C17" s="276"/>
      <c r="D17" s="181"/>
      <c r="E17" s="181"/>
      <c r="F17" s="188"/>
      <c r="G17" s="188"/>
      <c r="H17" s="189"/>
      <c r="I17" s="188"/>
      <c r="J17" s="188"/>
      <c r="K17" s="282"/>
      <c r="L17" s="282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6"/>
      <c r="D18" s="181"/>
      <c r="E18" s="181"/>
      <c r="F18" s="188"/>
      <c r="G18" s="188"/>
      <c r="H18" s="189"/>
      <c r="I18" s="188"/>
      <c r="J18" s="188"/>
      <c r="K18" s="282"/>
      <c r="L18" s="282"/>
      <c r="M18" s="184"/>
      <c r="N18" s="152"/>
      <c r="O18" s="152"/>
      <c r="P18" s="152"/>
    </row>
    <row r="19" spans="1:16" x14ac:dyDescent="0.25">
      <c r="A19" s="181"/>
      <c r="B19" s="187"/>
      <c r="C19" s="286"/>
      <c r="D19" s="181"/>
      <c r="E19" s="181"/>
      <c r="F19" s="188"/>
      <c r="G19" s="188"/>
      <c r="H19" s="189"/>
      <c r="I19" s="188"/>
      <c r="J19" s="188"/>
      <c r="K19" s="282"/>
      <c r="L19" s="282"/>
      <c r="M19" s="184"/>
      <c r="N19" s="152"/>
      <c r="O19" s="152"/>
      <c r="P19" s="152"/>
    </row>
    <row r="20" spans="1:16" x14ac:dyDescent="0.25">
      <c r="A20" s="181"/>
      <c r="B20" s="187"/>
      <c r="C20" s="190"/>
      <c r="D20" s="181"/>
      <c r="E20" s="181"/>
      <c r="F20" s="181"/>
      <c r="G20" s="181"/>
      <c r="H20" s="191"/>
      <c r="I20" s="181"/>
      <c r="J20" s="181"/>
      <c r="K20" s="283"/>
      <c r="L20" s="283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149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19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190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148">
        <f>SUM(M12:M20)</f>
        <v>0</v>
      </c>
      <c r="N24" s="108"/>
      <c r="O24" s="108"/>
      <c r="P24" s="108"/>
    </row>
    <row r="25" spans="1:16" x14ac:dyDescent="0.25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189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232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230</v>
      </c>
      <c r="L33" s="390"/>
      <c r="M33" s="390"/>
      <c r="N33" s="108"/>
      <c r="O33" s="108"/>
      <c r="P33" s="108"/>
    </row>
  </sheetData>
  <mergeCells count="25">
    <mergeCell ref="K32:M32"/>
    <mergeCell ref="K33:M33"/>
    <mergeCell ref="F24:F25"/>
    <mergeCell ref="G24:G25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3"/>
  <sheetViews>
    <sheetView topLeftCell="A7" zoomScale="80" zoomScaleNormal="80" workbookViewId="0">
      <selection activeCell="D14" sqref="D14"/>
    </sheetView>
  </sheetViews>
  <sheetFormatPr defaultRowHeight="15" x14ac:dyDescent="0.25"/>
  <cols>
    <col min="2" max="2" width="39.7109375" customWidth="1"/>
    <col min="3" max="3" width="23.5703125" customWidth="1"/>
    <col min="4" max="4" width="14" customWidth="1"/>
    <col min="6" max="6" width="14.5703125" customWidth="1"/>
    <col min="8" max="8" width="18.28515625" customWidth="1"/>
    <col min="9" max="9" width="11" customWidth="1"/>
    <col min="10" max="10" width="14" customWidth="1"/>
    <col min="11" max="11" width="16.42578125" customWidth="1"/>
    <col min="12" max="12" width="23.28515625" customWidth="1"/>
    <col min="13" max="13" width="24.85546875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182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200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84"/>
      <c r="D12" s="174"/>
      <c r="E12" s="174"/>
      <c r="F12" s="174"/>
      <c r="G12" s="174"/>
      <c r="H12" s="194"/>
      <c r="I12" s="174"/>
      <c r="J12" s="174"/>
      <c r="K12" s="281"/>
      <c r="L12" s="281"/>
      <c r="M12" s="174"/>
      <c r="N12" s="152"/>
      <c r="O12" s="152"/>
      <c r="P12" s="152"/>
    </row>
    <row r="13" spans="1:16" x14ac:dyDescent="0.25">
      <c r="A13" s="181">
        <v>1</v>
      </c>
      <c r="B13" s="151" t="s">
        <v>233</v>
      </c>
      <c r="C13" s="276">
        <v>8100126865211000</v>
      </c>
      <c r="D13" s="181" t="s">
        <v>286</v>
      </c>
      <c r="E13" s="181" t="s">
        <v>198</v>
      </c>
      <c r="F13" s="182"/>
      <c r="G13" s="182"/>
      <c r="H13" s="183">
        <v>10850000</v>
      </c>
      <c r="I13" s="182"/>
      <c r="J13" s="307" t="s">
        <v>234</v>
      </c>
      <c r="K13" s="277">
        <v>44546</v>
      </c>
      <c r="L13" s="277">
        <v>45846</v>
      </c>
      <c r="M13" s="184">
        <v>0</v>
      </c>
      <c r="N13" s="152"/>
      <c r="O13" s="152"/>
      <c r="P13" s="152"/>
    </row>
    <row r="14" spans="1:16" x14ac:dyDescent="0.25">
      <c r="A14" s="181"/>
      <c r="B14" s="151"/>
      <c r="C14" s="276"/>
      <c r="D14" s="181"/>
      <c r="E14" s="181"/>
      <c r="F14" s="182"/>
      <c r="G14" s="182"/>
      <c r="H14" s="183"/>
      <c r="I14" s="182"/>
      <c r="J14" s="182"/>
      <c r="K14" s="277"/>
      <c r="L14" s="277"/>
      <c r="M14" s="184"/>
      <c r="N14" s="152"/>
      <c r="O14" s="152"/>
      <c r="P14" s="152"/>
    </row>
    <row r="15" spans="1:16" ht="30" x14ac:dyDescent="0.25">
      <c r="A15" s="132" t="s">
        <v>38</v>
      </c>
      <c r="B15" s="195" t="s">
        <v>87</v>
      </c>
      <c r="C15" s="285"/>
      <c r="D15" s="196"/>
      <c r="E15" s="196"/>
      <c r="F15" s="182"/>
      <c r="G15" s="182"/>
      <c r="H15" s="183"/>
      <c r="I15" s="182"/>
      <c r="J15" s="182"/>
      <c r="K15" s="277"/>
      <c r="L15" s="277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6"/>
      <c r="D16" s="181"/>
      <c r="E16" s="181"/>
      <c r="F16" s="188"/>
      <c r="G16" s="188"/>
      <c r="H16" s="189"/>
      <c r="I16" s="188"/>
      <c r="J16" s="188"/>
      <c r="K16" s="282"/>
      <c r="L16" s="282"/>
      <c r="M16" s="184"/>
      <c r="N16" s="152"/>
      <c r="O16" s="152"/>
      <c r="P16" s="152"/>
    </row>
    <row r="17" spans="1:16" x14ac:dyDescent="0.25">
      <c r="A17" s="181"/>
      <c r="B17" s="187"/>
      <c r="C17" s="276"/>
      <c r="D17" s="181"/>
      <c r="E17" s="181"/>
      <c r="F17" s="188"/>
      <c r="G17" s="188"/>
      <c r="H17" s="189"/>
      <c r="I17" s="188"/>
      <c r="J17" s="188"/>
      <c r="K17" s="282"/>
      <c r="L17" s="282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6"/>
      <c r="D18" s="181"/>
      <c r="E18" s="181"/>
      <c r="F18" s="188"/>
      <c r="G18" s="188"/>
      <c r="H18" s="189"/>
      <c r="I18" s="188"/>
      <c r="J18" s="188"/>
      <c r="K18" s="282"/>
      <c r="L18" s="282"/>
      <c r="M18" s="184"/>
      <c r="N18" s="152"/>
      <c r="O18" s="152"/>
      <c r="P18" s="152"/>
    </row>
    <row r="19" spans="1:16" x14ac:dyDescent="0.25">
      <c r="A19" s="181"/>
      <c r="B19" s="187"/>
      <c r="C19" s="286"/>
      <c r="D19" s="181"/>
      <c r="E19" s="181"/>
      <c r="F19" s="188"/>
      <c r="G19" s="188"/>
      <c r="H19" s="189"/>
      <c r="I19" s="188"/>
      <c r="J19" s="188"/>
      <c r="K19" s="282"/>
      <c r="L19" s="282"/>
      <c r="M19" s="184"/>
      <c r="N19" s="152"/>
      <c r="O19" s="152"/>
      <c r="P19" s="152"/>
    </row>
    <row r="20" spans="1:16" x14ac:dyDescent="0.25">
      <c r="A20" s="181"/>
      <c r="B20" s="187"/>
      <c r="C20" s="286"/>
      <c r="D20" s="181"/>
      <c r="E20" s="181"/>
      <c r="F20" s="181"/>
      <c r="G20" s="181"/>
      <c r="H20" s="191"/>
      <c r="I20" s="181"/>
      <c r="J20" s="181"/>
      <c r="K20" s="181"/>
      <c r="L20" s="181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149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19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190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148">
        <f>SUM(M12:M20)</f>
        <v>0</v>
      </c>
      <c r="N24" s="108"/>
      <c r="O24" s="108"/>
      <c r="P24" s="108"/>
    </row>
    <row r="25" spans="1:16" x14ac:dyDescent="0.25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189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232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235</v>
      </c>
      <c r="L33" s="390"/>
      <c r="M33" s="390"/>
      <c r="N33" s="108"/>
      <c r="O33" s="108"/>
      <c r="P33" s="108"/>
    </row>
  </sheetData>
  <mergeCells count="25">
    <mergeCell ref="K32:M32"/>
    <mergeCell ref="K33:M33"/>
    <mergeCell ref="F24:F25"/>
    <mergeCell ref="G24:G25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3"/>
  <sheetViews>
    <sheetView topLeftCell="A10" zoomScale="80" zoomScaleNormal="80" workbookViewId="0">
      <selection activeCell="D14" sqref="D14"/>
    </sheetView>
  </sheetViews>
  <sheetFormatPr defaultRowHeight="15" x14ac:dyDescent="0.25"/>
  <cols>
    <col min="2" max="2" width="29.85546875" customWidth="1"/>
    <col min="3" max="3" width="21.5703125" bestFit="1" customWidth="1"/>
    <col min="4" max="4" width="14" customWidth="1"/>
    <col min="6" max="6" width="14.5703125" customWidth="1"/>
    <col min="8" max="8" width="18.28515625" customWidth="1"/>
    <col min="9" max="9" width="8.7109375" customWidth="1"/>
    <col min="10" max="10" width="29.85546875" customWidth="1"/>
    <col min="11" max="11" width="16.42578125" customWidth="1"/>
    <col min="12" max="12" width="23.28515625" customWidth="1"/>
    <col min="13" max="13" width="24.85546875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183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200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84"/>
      <c r="D12" s="174"/>
      <c r="E12" s="174"/>
      <c r="F12" s="174"/>
      <c r="G12" s="174"/>
      <c r="H12" s="194"/>
      <c r="I12" s="174"/>
      <c r="J12" s="174"/>
      <c r="K12" s="174"/>
      <c r="L12" s="174"/>
      <c r="M12" s="174"/>
      <c r="N12" s="152"/>
      <c r="O12" s="152"/>
      <c r="P12" s="152"/>
    </row>
    <row r="13" spans="1:16" x14ac:dyDescent="0.25">
      <c r="A13" s="181">
        <v>1</v>
      </c>
      <c r="B13" s="151" t="s">
        <v>236</v>
      </c>
      <c r="C13" s="276">
        <v>8100124176501000</v>
      </c>
      <c r="D13" s="181" t="s">
        <v>286</v>
      </c>
      <c r="E13" s="181" t="s">
        <v>198</v>
      </c>
      <c r="F13" s="182"/>
      <c r="G13" s="182"/>
      <c r="H13" s="183">
        <v>72362825</v>
      </c>
      <c r="I13" s="182"/>
      <c r="J13" s="182" t="s">
        <v>202</v>
      </c>
      <c r="K13" s="277">
        <v>44140</v>
      </c>
      <c r="L13" s="277">
        <v>45866</v>
      </c>
      <c r="M13" s="184">
        <v>0</v>
      </c>
      <c r="N13" s="152"/>
      <c r="O13" s="152"/>
      <c r="P13" s="152"/>
    </row>
    <row r="14" spans="1:16" x14ac:dyDescent="0.25">
      <c r="A14" s="181"/>
      <c r="B14" s="151"/>
      <c r="C14" s="276"/>
      <c r="D14" s="181"/>
      <c r="E14" s="181"/>
      <c r="F14" s="182"/>
      <c r="G14" s="182"/>
      <c r="H14" s="183"/>
      <c r="I14" s="182"/>
      <c r="J14" s="182"/>
      <c r="K14" s="277"/>
      <c r="L14" s="277"/>
      <c r="M14" s="184"/>
      <c r="N14" s="152"/>
      <c r="O14" s="152"/>
      <c r="P14" s="152"/>
    </row>
    <row r="15" spans="1:16" ht="45" x14ac:dyDescent="0.25">
      <c r="A15" s="132" t="s">
        <v>38</v>
      </c>
      <c r="B15" s="195" t="s">
        <v>87</v>
      </c>
      <c r="C15" s="285"/>
      <c r="D15" s="196"/>
      <c r="E15" s="196"/>
      <c r="F15" s="182"/>
      <c r="G15" s="182"/>
      <c r="H15" s="183"/>
      <c r="I15" s="182"/>
      <c r="J15" s="182"/>
      <c r="K15" s="277"/>
      <c r="L15" s="277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6"/>
      <c r="D16" s="181"/>
      <c r="E16" s="181"/>
      <c r="F16" s="188"/>
      <c r="G16" s="188"/>
      <c r="H16" s="189"/>
      <c r="I16" s="188"/>
      <c r="J16" s="188"/>
      <c r="K16" s="282"/>
      <c r="L16" s="282"/>
      <c r="M16" s="184"/>
      <c r="N16" s="152"/>
      <c r="O16" s="152"/>
      <c r="P16" s="152"/>
    </row>
    <row r="17" spans="1:16" x14ac:dyDescent="0.25">
      <c r="A17" s="181"/>
      <c r="B17" s="187"/>
      <c r="C17" s="276"/>
      <c r="D17" s="181"/>
      <c r="E17" s="181"/>
      <c r="F17" s="188"/>
      <c r="G17" s="188"/>
      <c r="H17" s="189"/>
      <c r="I17" s="188"/>
      <c r="J17" s="188"/>
      <c r="K17" s="282"/>
      <c r="L17" s="282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6"/>
      <c r="D18" s="181"/>
      <c r="E18" s="181"/>
      <c r="F18" s="188"/>
      <c r="G18" s="188"/>
      <c r="H18" s="189"/>
      <c r="I18" s="188"/>
      <c r="J18" s="188"/>
      <c r="K18" s="282"/>
      <c r="L18" s="282"/>
      <c r="M18" s="184"/>
      <c r="N18" s="152"/>
      <c r="O18" s="152"/>
      <c r="P18" s="152"/>
    </row>
    <row r="19" spans="1:16" x14ac:dyDescent="0.25">
      <c r="A19" s="181"/>
      <c r="B19" s="187"/>
      <c r="C19" s="286"/>
      <c r="D19" s="181"/>
      <c r="E19" s="181"/>
      <c r="F19" s="188"/>
      <c r="G19" s="188"/>
      <c r="H19" s="189"/>
      <c r="I19" s="188"/>
      <c r="J19" s="188"/>
      <c r="K19" s="282"/>
      <c r="L19" s="282"/>
      <c r="M19" s="184"/>
      <c r="N19" s="152"/>
      <c r="O19" s="152"/>
      <c r="P19" s="152"/>
    </row>
    <row r="20" spans="1:16" x14ac:dyDescent="0.25">
      <c r="A20" s="181"/>
      <c r="B20" s="187"/>
      <c r="C20" s="190"/>
      <c r="D20" s="181"/>
      <c r="E20" s="181"/>
      <c r="F20" s="181"/>
      <c r="G20" s="181"/>
      <c r="H20" s="191"/>
      <c r="I20" s="181"/>
      <c r="J20" s="181"/>
      <c r="K20" s="181"/>
      <c r="L20" s="181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149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19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190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148">
        <f>SUM(M12:M19)</f>
        <v>0</v>
      </c>
      <c r="N24" s="108"/>
      <c r="O24" s="108"/>
      <c r="P24" s="108"/>
    </row>
    <row r="25" spans="1:16" x14ac:dyDescent="0.25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189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232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230</v>
      </c>
      <c r="L33" s="390"/>
      <c r="M33" s="390"/>
      <c r="N33" s="108"/>
      <c r="O33" s="108"/>
      <c r="P33" s="108"/>
    </row>
  </sheetData>
  <mergeCells count="25">
    <mergeCell ref="K32:M32"/>
    <mergeCell ref="K33:M33"/>
    <mergeCell ref="F24:F25"/>
    <mergeCell ref="G24:G25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3"/>
  <sheetViews>
    <sheetView zoomScale="70" zoomScaleNormal="70" workbookViewId="0">
      <selection activeCell="K27" sqref="K27:M33"/>
    </sheetView>
  </sheetViews>
  <sheetFormatPr defaultRowHeight="15" x14ac:dyDescent="0.25"/>
  <cols>
    <col min="2" max="2" width="29.85546875" customWidth="1"/>
    <col min="3" max="3" width="21.5703125" bestFit="1" customWidth="1"/>
    <col min="4" max="4" width="14" customWidth="1"/>
    <col min="6" max="6" width="13.5703125" customWidth="1"/>
    <col min="7" max="7" width="20.7109375" customWidth="1"/>
    <col min="8" max="8" width="12.85546875" customWidth="1"/>
    <col min="9" max="9" width="16.7109375" customWidth="1"/>
    <col min="10" max="10" width="29" customWidth="1"/>
    <col min="11" max="11" width="16.42578125" customWidth="1"/>
    <col min="12" max="12" width="18.5703125" customWidth="1"/>
    <col min="13" max="13" width="24.85546875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184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200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ht="28.5" customHeight="1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84"/>
      <c r="D12" s="174"/>
      <c r="E12" s="174"/>
      <c r="F12" s="174"/>
      <c r="G12" s="174"/>
      <c r="H12" s="194"/>
      <c r="I12" s="174"/>
      <c r="J12" s="174"/>
      <c r="K12" s="281"/>
      <c r="L12" s="281"/>
      <c r="M12" s="174"/>
      <c r="N12" s="152"/>
      <c r="O12" s="152"/>
      <c r="P12" s="152"/>
    </row>
    <row r="13" spans="1:16" x14ac:dyDescent="0.25">
      <c r="A13" s="181">
        <v>1</v>
      </c>
      <c r="B13" s="151" t="s">
        <v>242</v>
      </c>
      <c r="C13" s="276">
        <v>8100126804681000</v>
      </c>
      <c r="D13" s="181" t="s">
        <v>78</v>
      </c>
      <c r="E13" s="181" t="s">
        <v>226</v>
      </c>
      <c r="F13" s="182"/>
      <c r="G13" s="182">
        <v>300000000</v>
      </c>
      <c r="H13" s="183"/>
      <c r="I13" s="182">
        <v>956997800</v>
      </c>
      <c r="J13" s="182" t="s">
        <v>202</v>
      </c>
      <c r="K13" s="277">
        <v>44140</v>
      </c>
      <c r="L13" s="277">
        <v>45847</v>
      </c>
      <c r="M13" s="184">
        <v>0</v>
      </c>
      <c r="N13" s="152"/>
      <c r="O13" s="152"/>
      <c r="P13" s="152"/>
    </row>
    <row r="14" spans="1:16" x14ac:dyDescent="0.25">
      <c r="A14" s="181"/>
      <c r="B14" s="151"/>
      <c r="C14" s="276"/>
      <c r="D14" s="181"/>
      <c r="E14" s="181"/>
      <c r="F14" s="182"/>
      <c r="G14" s="182"/>
      <c r="H14" s="183"/>
      <c r="I14" s="182"/>
      <c r="J14" s="182"/>
      <c r="K14" s="277"/>
      <c r="L14" s="277"/>
      <c r="M14" s="184"/>
      <c r="N14" s="152"/>
      <c r="O14" s="152"/>
      <c r="P14" s="152"/>
    </row>
    <row r="15" spans="1:16" ht="45" x14ac:dyDescent="0.25">
      <c r="A15" s="132" t="s">
        <v>38</v>
      </c>
      <c r="B15" s="195" t="s">
        <v>87</v>
      </c>
      <c r="C15" s="285"/>
      <c r="D15" s="196"/>
      <c r="E15" s="196"/>
      <c r="F15" s="182"/>
      <c r="G15" s="182"/>
      <c r="H15" s="183"/>
      <c r="I15" s="182"/>
      <c r="J15" s="182"/>
      <c r="K15" s="277"/>
      <c r="L15" s="277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6"/>
      <c r="D16" s="181"/>
      <c r="E16" s="181"/>
      <c r="F16" s="188"/>
      <c r="G16" s="188"/>
      <c r="H16" s="189"/>
      <c r="I16" s="188"/>
      <c r="J16" s="188"/>
      <c r="K16" s="282"/>
      <c r="L16" s="282"/>
      <c r="M16" s="184"/>
      <c r="N16" s="152"/>
      <c r="O16" s="152"/>
      <c r="P16" s="152"/>
    </row>
    <row r="17" spans="1:16" x14ac:dyDescent="0.25">
      <c r="A17" s="181"/>
      <c r="B17" s="187"/>
      <c r="C17" s="276"/>
      <c r="D17" s="181"/>
      <c r="E17" s="181"/>
      <c r="F17" s="188"/>
      <c r="G17" s="188"/>
      <c r="H17" s="189"/>
      <c r="I17" s="188"/>
      <c r="J17" s="188"/>
      <c r="K17" s="282"/>
      <c r="L17" s="282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6"/>
      <c r="D18" s="181"/>
      <c r="E18" s="181"/>
      <c r="F18" s="188"/>
      <c r="G18" s="188"/>
      <c r="H18" s="189"/>
      <c r="I18" s="188"/>
      <c r="J18" s="188"/>
      <c r="K18" s="282"/>
      <c r="L18" s="282"/>
      <c r="M18" s="184"/>
      <c r="N18" s="152"/>
      <c r="O18" s="152"/>
      <c r="P18" s="152"/>
    </row>
    <row r="19" spans="1:16" x14ac:dyDescent="0.25">
      <c r="A19" s="181"/>
      <c r="B19" s="187"/>
      <c r="C19" s="286"/>
      <c r="D19" s="181"/>
      <c r="E19" s="181"/>
      <c r="F19" s="188"/>
      <c r="G19" s="188"/>
      <c r="H19" s="189"/>
      <c r="I19" s="188"/>
      <c r="J19" s="188"/>
      <c r="K19" s="282"/>
      <c r="L19" s="282"/>
      <c r="M19" s="184"/>
      <c r="N19" s="152"/>
      <c r="O19" s="152"/>
      <c r="P19" s="152"/>
    </row>
    <row r="20" spans="1:16" x14ac:dyDescent="0.25">
      <c r="A20" s="181"/>
      <c r="B20" s="187"/>
      <c r="C20" s="190"/>
      <c r="D20" s="181"/>
      <c r="E20" s="181"/>
      <c r="F20" s="181"/>
      <c r="G20" s="181"/>
      <c r="H20" s="191"/>
      <c r="I20" s="181"/>
      <c r="J20" s="181"/>
      <c r="K20" s="181"/>
      <c r="L20" s="181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149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19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190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148" t="s">
        <v>143</v>
      </c>
      <c r="N24" s="108"/>
      <c r="O24" s="108"/>
      <c r="P24" s="108"/>
    </row>
    <row r="25" spans="1:16" x14ac:dyDescent="0.25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188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243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244</v>
      </c>
      <c r="L33" s="390"/>
      <c r="M33" s="390"/>
      <c r="N33" s="108"/>
      <c r="O33" s="108"/>
      <c r="P33" s="108"/>
    </row>
  </sheetData>
  <mergeCells count="25">
    <mergeCell ref="K32:M32"/>
    <mergeCell ref="K33:M33"/>
    <mergeCell ref="F24:F25"/>
    <mergeCell ref="G24:G25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3"/>
  <sheetViews>
    <sheetView zoomScale="80" zoomScaleNormal="80" workbookViewId="0">
      <selection activeCell="K33" sqref="K33:M33"/>
    </sheetView>
  </sheetViews>
  <sheetFormatPr defaultRowHeight="15" x14ac:dyDescent="0.25"/>
  <cols>
    <col min="2" max="2" width="29.85546875" customWidth="1"/>
    <col min="3" max="3" width="23.85546875" customWidth="1"/>
    <col min="4" max="4" width="14" customWidth="1"/>
    <col min="6" max="6" width="14.5703125" customWidth="1"/>
    <col min="8" max="8" width="18.28515625" customWidth="1"/>
    <col min="9" max="9" width="10.140625" customWidth="1"/>
    <col min="10" max="10" width="29" customWidth="1"/>
    <col min="11" max="11" width="16.42578125" customWidth="1"/>
    <col min="12" max="12" width="23.28515625" customWidth="1"/>
    <col min="13" max="13" width="24.85546875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185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200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84"/>
      <c r="D12" s="174"/>
      <c r="E12" s="174"/>
      <c r="F12" s="174"/>
      <c r="G12" s="174"/>
      <c r="H12" s="194"/>
      <c r="I12" s="174"/>
      <c r="J12" s="174"/>
      <c r="K12" s="281"/>
      <c r="L12" s="281"/>
      <c r="M12" s="174"/>
      <c r="N12" s="152"/>
      <c r="O12" s="152"/>
      <c r="P12" s="152"/>
    </row>
    <row r="13" spans="1:16" x14ac:dyDescent="0.25">
      <c r="A13" s="181">
        <v>1</v>
      </c>
      <c r="B13" s="151" t="s">
        <v>245</v>
      </c>
      <c r="C13" s="276">
        <v>8100126380201000</v>
      </c>
      <c r="D13" s="181" t="s">
        <v>78</v>
      </c>
      <c r="E13" s="181" t="s">
        <v>246</v>
      </c>
      <c r="F13" s="182">
        <v>0</v>
      </c>
      <c r="G13" s="182">
        <v>0</v>
      </c>
      <c r="H13" s="183">
        <v>75082500</v>
      </c>
      <c r="I13" s="182">
        <v>0</v>
      </c>
      <c r="J13" s="182" t="s">
        <v>247</v>
      </c>
      <c r="K13" s="277">
        <v>44249</v>
      </c>
      <c r="L13" s="277">
        <v>45842</v>
      </c>
      <c r="M13" s="184">
        <v>0</v>
      </c>
      <c r="N13" s="152"/>
      <c r="O13" s="152"/>
      <c r="P13" s="152"/>
    </row>
    <row r="14" spans="1:16" x14ac:dyDescent="0.25">
      <c r="A14" s="181"/>
      <c r="B14" s="151"/>
      <c r="C14" s="276"/>
      <c r="D14" s="181"/>
      <c r="E14" s="181"/>
      <c r="F14" s="182"/>
      <c r="G14" s="182"/>
      <c r="H14" s="183"/>
      <c r="I14" s="182"/>
      <c r="J14" s="182"/>
      <c r="K14" s="277"/>
      <c r="L14" s="277"/>
      <c r="M14" s="184"/>
      <c r="N14" s="152"/>
      <c r="O14" s="152"/>
      <c r="P14" s="152"/>
    </row>
    <row r="15" spans="1:16" ht="45" x14ac:dyDescent="0.25">
      <c r="A15" s="132" t="s">
        <v>38</v>
      </c>
      <c r="B15" s="195" t="s">
        <v>87</v>
      </c>
      <c r="C15" s="285"/>
      <c r="D15" s="196"/>
      <c r="E15" s="196"/>
      <c r="F15" s="182"/>
      <c r="G15" s="182"/>
      <c r="H15" s="183"/>
      <c r="I15" s="182"/>
      <c r="J15" s="182"/>
      <c r="K15" s="277"/>
      <c r="L15" s="277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6"/>
      <c r="D16" s="181"/>
      <c r="E16" s="181"/>
      <c r="F16" s="188"/>
      <c r="G16" s="188"/>
      <c r="H16" s="189"/>
      <c r="I16" s="188"/>
      <c r="J16" s="188"/>
      <c r="K16" s="282"/>
      <c r="L16" s="282"/>
      <c r="M16" s="184"/>
      <c r="N16" s="152"/>
      <c r="O16" s="152"/>
      <c r="P16" s="152"/>
    </row>
    <row r="17" spans="1:16" x14ac:dyDescent="0.25">
      <c r="A17" s="181"/>
      <c r="B17" s="187"/>
      <c r="C17" s="276"/>
      <c r="D17" s="181"/>
      <c r="E17" s="181"/>
      <c r="F17" s="188"/>
      <c r="G17" s="188"/>
      <c r="H17" s="189"/>
      <c r="I17" s="188"/>
      <c r="J17" s="188"/>
      <c r="K17" s="282"/>
      <c r="L17" s="282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6"/>
      <c r="D18" s="181"/>
      <c r="E18" s="181"/>
      <c r="F18" s="188"/>
      <c r="G18" s="188"/>
      <c r="H18" s="189"/>
      <c r="I18" s="188"/>
      <c r="J18" s="188"/>
      <c r="K18" s="282"/>
      <c r="L18" s="282"/>
      <c r="M18" s="184"/>
      <c r="N18" s="152"/>
      <c r="O18" s="152"/>
      <c r="P18" s="152"/>
    </row>
    <row r="19" spans="1:16" x14ac:dyDescent="0.25">
      <c r="A19" s="181"/>
      <c r="B19" s="187"/>
      <c r="C19" s="286"/>
      <c r="D19" s="181"/>
      <c r="E19" s="181"/>
      <c r="F19" s="188"/>
      <c r="G19" s="188"/>
      <c r="H19" s="189"/>
      <c r="I19" s="188"/>
      <c r="J19" s="188"/>
      <c r="K19" s="282"/>
      <c r="L19" s="282"/>
      <c r="M19" s="184"/>
      <c r="N19" s="152"/>
      <c r="O19" s="152"/>
      <c r="P19" s="152"/>
    </row>
    <row r="20" spans="1:16" x14ac:dyDescent="0.25">
      <c r="A20" s="181"/>
      <c r="B20" s="187"/>
      <c r="C20" s="190"/>
      <c r="D20" s="181"/>
      <c r="E20" s="181"/>
      <c r="F20" s="181"/>
      <c r="G20" s="181"/>
      <c r="H20" s="191"/>
      <c r="I20" s="181"/>
      <c r="J20" s="181"/>
      <c r="K20" s="181"/>
      <c r="L20" s="181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149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19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190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148">
        <f>SUM(M13:M20)</f>
        <v>0</v>
      </c>
      <c r="N24" s="108"/>
      <c r="O24" s="108"/>
      <c r="P24" s="108"/>
    </row>
    <row r="25" spans="1:16" x14ac:dyDescent="0.25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188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243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244</v>
      </c>
      <c r="L33" s="390"/>
      <c r="M33" s="390"/>
      <c r="N33" s="108"/>
      <c r="O33" s="108"/>
      <c r="P33" s="108"/>
    </row>
  </sheetData>
  <mergeCells count="25">
    <mergeCell ref="K32:M32"/>
    <mergeCell ref="K33:M33"/>
    <mergeCell ref="F24:F25"/>
    <mergeCell ref="G24:G25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3"/>
  <sheetViews>
    <sheetView zoomScale="70" zoomScaleNormal="70" workbookViewId="0">
      <selection activeCell="D14" sqref="D14"/>
    </sheetView>
  </sheetViews>
  <sheetFormatPr defaultRowHeight="15" x14ac:dyDescent="0.25"/>
  <cols>
    <col min="2" max="2" width="29.85546875" customWidth="1"/>
    <col min="3" max="3" width="22.5703125" customWidth="1"/>
    <col min="4" max="4" width="14" customWidth="1"/>
    <col min="6" max="6" width="14.5703125" customWidth="1"/>
    <col min="8" max="8" width="18.28515625" customWidth="1"/>
    <col min="9" max="9" width="16.7109375" customWidth="1"/>
    <col min="11" max="11" width="16.42578125" customWidth="1"/>
    <col min="12" max="12" width="23.28515625" customWidth="1"/>
    <col min="13" max="13" width="24.85546875" customWidth="1"/>
  </cols>
  <sheetData>
    <row r="1" spans="1:16" x14ac:dyDescent="0.25">
      <c r="A1" s="165"/>
      <c r="B1" s="108"/>
      <c r="C1" s="108"/>
      <c r="D1" s="108"/>
      <c r="E1" s="108"/>
      <c r="F1" s="108"/>
      <c r="G1" s="108"/>
      <c r="H1" s="160"/>
      <c r="I1" s="108"/>
      <c r="J1" s="108"/>
      <c r="K1" s="108"/>
      <c r="L1" s="108"/>
      <c r="M1" s="108"/>
      <c r="N1" s="108"/>
      <c r="O1" s="108"/>
      <c r="P1" s="108"/>
    </row>
    <row r="2" spans="1:16" x14ac:dyDescent="0.25">
      <c r="A2" s="165"/>
      <c r="B2" s="108"/>
      <c r="C2" s="108"/>
      <c r="D2" s="108"/>
      <c r="E2" s="108"/>
      <c r="F2" s="108"/>
      <c r="G2" s="108"/>
      <c r="H2" s="160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65"/>
      <c r="B3" s="108"/>
      <c r="C3" s="108"/>
      <c r="D3" s="108"/>
      <c r="E3" s="108"/>
      <c r="F3" s="108"/>
      <c r="G3" s="108"/>
      <c r="H3" s="160"/>
      <c r="I3" s="108"/>
      <c r="J3" s="108"/>
      <c r="K3" s="108"/>
      <c r="L3" s="108"/>
      <c r="M3" s="108"/>
      <c r="N3" s="108"/>
      <c r="O3" s="108"/>
      <c r="P3" s="108"/>
    </row>
    <row r="4" spans="1:16" x14ac:dyDescent="0.25">
      <c r="A4" s="165"/>
      <c r="B4" s="108"/>
      <c r="C4" s="108"/>
      <c r="D4" s="108"/>
      <c r="E4" s="108"/>
      <c r="F4" s="108"/>
      <c r="G4" s="108"/>
      <c r="H4" s="160"/>
      <c r="I4" s="108"/>
      <c r="J4" s="108"/>
      <c r="K4" s="108"/>
      <c r="L4" s="108"/>
      <c r="M4" s="108"/>
      <c r="N4" s="108"/>
      <c r="O4" s="108"/>
      <c r="P4" s="108"/>
    </row>
    <row r="5" spans="1:16" x14ac:dyDescent="0.25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</row>
    <row r="6" spans="1:16" x14ac:dyDescent="0.25">
      <c r="A6" s="397" t="s">
        <v>186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16" x14ac:dyDescent="0.25">
      <c r="A7" s="397" t="s">
        <v>200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16" x14ac:dyDescent="0.25">
      <c r="A8" s="165"/>
      <c r="B8" s="398"/>
      <c r="C8" s="398"/>
      <c r="D8" s="398"/>
      <c r="E8" s="398"/>
      <c r="F8" s="398"/>
      <c r="G8" s="398"/>
      <c r="H8" s="398"/>
      <c r="I8" s="398"/>
      <c r="J8" s="109"/>
      <c r="K8" s="109"/>
      <c r="L8" s="109"/>
      <c r="M8" s="108"/>
      <c r="N8" s="108"/>
      <c r="O8" s="108"/>
      <c r="P8" s="108"/>
    </row>
    <row r="9" spans="1:16" x14ac:dyDescent="0.25">
      <c r="A9" s="399" t="s">
        <v>27</v>
      </c>
      <c r="B9" s="391" t="s">
        <v>28</v>
      </c>
      <c r="C9" s="401"/>
      <c r="D9" s="401"/>
      <c r="E9" s="392"/>
      <c r="F9" s="391" t="s">
        <v>145</v>
      </c>
      <c r="G9" s="401"/>
      <c r="H9" s="401"/>
      <c r="I9" s="392"/>
      <c r="J9" s="391" t="s">
        <v>29</v>
      </c>
      <c r="K9" s="392"/>
      <c r="L9" s="393" t="s">
        <v>34</v>
      </c>
      <c r="M9" s="393" t="s">
        <v>154</v>
      </c>
      <c r="N9" s="404"/>
      <c r="O9" s="404"/>
      <c r="P9" s="404"/>
    </row>
    <row r="10" spans="1:16" x14ac:dyDescent="0.25">
      <c r="A10" s="400"/>
      <c r="B10" s="115" t="s">
        <v>2</v>
      </c>
      <c r="C10" s="130" t="s">
        <v>3</v>
      </c>
      <c r="D10" s="115" t="s">
        <v>74</v>
      </c>
      <c r="E10" s="115" t="s">
        <v>4</v>
      </c>
      <c r="F10" s="114" t="s">
        <v>51</v>
      </c>
      <c r="G10" s="114" t="s">
        <v>142</v>
      </c>
      <c r="H10" s="114" t="s">
        <v>61</v>
      </c>
      <c r="I10" s="113" t="s">
        <v>6</v>
      </c>
      <c r="J10" s="115" t="s">
        <v>3</v>
      </c>
      <c r="K10" s="115" t="s">
        <v>7</v>
      </c>
      <c r="L10" s="394"/>
      <c r="M10" s="394"/>
      <c r="N10" s="404"/>
      <c r="O10" s="404"/>
      <c r="P10" s="404"/>
    </row>
    <row r="11" spans="1:16" x14ac:dyDescent="0.25">
      <c r="A11" s="208">
        <v>1</v>
      </c>
      <c r="B11" s="208">
        <v>2</v>
      </c>
      <c r="C11" s="209" t="s">
        <v>40</v>
      </c>
      <c r="D11" s="209" t="s">
        <v>41</v>
      </c>
      <c r="E11" s="209" t="s">
        <v>42</v>
      </c>
      <c r="F11" s="210" t="s">
        <v>43</v>
      </c>
      <c r="G11" s="209" t="s">
        <v>44</v>
      </c>
      <c r="H11" s="209" t="s">
        <v>45</v>
      </c>
      <c r="I11" s="209">
        <v>9</v>
      </c>
      <c r="J11" s="209">
        <v>10</v>
      </c>
      <c r="K11" s="209">
        <v>11</v>
      </c>
      <c r="L11" s="209">
        <v>12</v>
      </c>
      <c r="M11" s="209" t="s">
        <v>164</v>
      </c>
      <c r="N11" s="234"/>
      <c r="O11" s="235"/>
      <c r="P11" s="235"/>
    </row>
    <row r="12" spans="1:16" x14ac:dyDescent="0.25">
      <c r="A12" s="110" t="s">
        <v>37</v>
      </c>
      <c r="B12" s="170" t="s">
        <v>36</v>
      </c>
      <c r="C12" s="284"/>
      <c r="D12" s="174"/>
      <c r="E12" s="174"/>
      <c r="F12" s="174"/>
      <c r="G12" s="174"/>
      <c r="H12" s="194"/>
      <c r="I12" s="174"/>
      <c r="J12" s="174"/>
      <c r="K12" s="174"/>
      <c r="L12" s="308"/>
      <c r="M12" s="174"/>
      <c r="N12" s="152"/>
      <c r="O12" s="152"/>
      <c r="P12" s="152"/>
    </row>
    <row r="13" spans="1:16" x14ac:dyDescent="0.25">
      <c r="A13" s="181">
        <v>1</v>
      </c>
      <c r="B13" s="151" t="s">
        <v>253</v>
      </c>
      <c r="C13" s="276">
        <v>8100126320491000</v>
      </c>
      <c r="D13" s="181" t="s">
        <v>286</v>
      </c>
      <c r="E13" s="181" t="s">
        <v>198</v>
      </c>
      <c r="F13" s="182">
        <v>0</v>
      </c>
      <c r="G13" s="182">
        <v>0</v>
      </c>
      <c r="H13" s="183">
        <v>0</v>
      </c>
      <c r="I13" s="182">
        <v>0</v>
      </c>
      <c r="J13" s="182"/>
      <c r="K13" s="182"/>
      <c r="L13" s="309">
        <v>45862</v>
      </c>
      <c r="M13" s="184">
        <v>0</v>
      </c>
      <c r="N13" s="152"/>
      <c r="O13" s="152"/>
      <c r="P13" s="152"/>
    </row>
    <row r="14" spans="1:16" x14ac:dyDescent="0.25">
      <c r="A14" s="181"/>
      <c r="B14" s="151"/>
      <c r="C14" s="276"/>
      <c r="D14" s="181"/>
      <c r="E14" s="181"/>
      <c r="F14" s="182"/>
      <c r="G14" s="182"/>
      <c r="H14" s="183"/>
      <c r="I14" s="182"/>
      <c r="J14" s="182"/>
      <c r="K14" s="182"/>
      <c r="L14" s="309"/>
      <c r="M14" s="184"/>
      <c r="N14" s="152"/>
      <c r="O14" s="152"/>
      <c r="P14" s="152"/>
    </row>
    <row r="15" spans="1:16" ht="45" x14ac:dyDescent="0.25">
      <c r="A15" s="132" t="s">
        <v>38</v>
      </c>
      <c r="B15" s="195" t="s">
        <v>87</v>
      </c>
      <c r="C15" s="285"/>
      <c r="D15" s="196"/>
      <c r="E15" s="196"/>
      <c r="F15" s="182"/>
      <c r="G15" s="182"/>
      <c r="H15" s="183"/>
      <c r="I15" s="182"/>
      <c r="J15" s="182"/>
      <c r="K15" s="182"/>
      <c r="L15" s="309"/>
      <c r="M15" s="184"/>
      <c r="N15" s="152"/>
      <c r="O15" s="152"/>
      <c r="P15" s="152"/>
    </row>
    <row r="16" spans="1:16" ht="28.5" x14ac:dyDescent="0.25">
      <c r="A16" s="181">
        <v>1</v>
      </c>
      <c r="B16" s="187" t="s">
        <v>159</v>
      </c>
      <c r="C16" s="276"/>
      <c r="D16" s="181"/>
      <c r="E16" s="196"/>
      <c r="F16" s="188"/>
      <c r="G16" s="188"/>
      <c r="H16" s="189"/>
      <c r="I16" s="188"/>
      <c r="J16" s="188"/>
      <c r="K16" s="188"/>
      <c r="L16" s="310"/>
      <c r="M16" s="184"/>
      <c r="N16" s="152"/>
      <c r="O16" s="152"/>
      <c r="P16" s="152"/>
    </row>
    <row r="17" spans="1:16" x14ac:dyDescent="0.25">
      <c r="A17" s="181"/>
      <c r="B17" s="187"/>
      <c r="C17" s="276"/>
      <c r="D17" s="181"/>
      <c r="E17" s="181"/>
      <c r="F17" s="188"/>
      <c r="G17" s="188"/>
      <c r="H17" s="189"/>
      <c r="I17" s="188"/>
      <c r="J17" s="188"/>
      <c r="K17" s="188"/>
      <c r="L17" s="310"/>
      <c r="M17" s="184"/>
      <c r="N17" s="152"/>
      <c r="O17" s="152"/>
      <c r="P17" s="152"/>
    </row>
    <row r="18" spans="1:16" ht="28.5" x14ac:dyDescent="0.25">
      <c r="A18" s="181">
        <v>2</v>
      </c>
      <c r="B18" s="187" t="s">
        <v>160</v>
      </c>
      <c r="C18" s="276"/>
      <c r="D18" s="181"/>
      <c r="E18" s="181"/>
      <c r="F18" s="188"/>
      <c r="G18" s="188"/>
      <c r="H18" s="189"/>
      <c r="I18" s="188"/>
      <c r="J18" s="188"/>
      <c r="K18" s="188"/>
      <c r="L18" s="310"/>
      <c r="M18" s="184"/>
      <c r="N18" s="152"/>
      <c r="O18" s="152"/>
      <c r="P18" s="152"/>
    </row>
    <row r="19" spans="1:16" x14ac:dyDescent="0.25">
      <c r="A19" s="181"/>
      <c r="B19" s="187"/>
      <c r="C19" s="286"/>
      <c r="D19" s="181"/>
      <c r="E19" s="181"/>
      <c r="F19" s="188"/>
      <c r="G19" s="188"/>
      <c r="H19" s="189"/>
      <c r="I19" s="188"/>
      <c r="J19" s="188"/>
      <c r="K19" s="188"/>
      <c r="L19" s="310"/>
      <c r="M19" s="184"/>
      <c r="N19" s="152"/>
      <c r="O19" s="152"/>
      <c r="P19" s="152"/>
    </row>
    <row r="20" spans="1:16" x14ac:dyDescent="0.25">
      <c r="A20" s="181"/>
      <c r="B20" s="187"/>
      <c r="C20" s="190"/>
      <c r="D20" s="181"/>
      <c r="E20" s="181"/>
      <c r="F20" s="181"/>
      <c r="G20" s="181"/>
      <c r="H20" s="191"/>
      <c r="I20" s="181"/>
      <c r="J20" s="181"/>
      <c r="K20" s="181"/>
      <c r="L20" s="181"/>
      <c r="M20" s="151"/>
      <c r="N20" s="152"/>
      <c r="O20" s="152"/>
      <c r="P20" s="152"/>
    </row>
    <row r="21" spans="1:16" x14ac:dyDescent="0.25">
      <c r="A21" s="149" t="s">
        <v>8</v>
      </c>
      <c r="B21" s="149" t="s">
        <v>9</v>
      </c>
      <c r="C21" s="149" t="s">
        <v>10</v>
      </c>
      <c r="D21" s="149" t="s">
        <v>11</v>
      </c>
      <c r="E21" s="149" t="s">
        <v>12</v>
      </c>
      <c r="F21" s="149" t="s">
        <v>13</v>
      </c>
      <c r="G21" s="150" t="s">
        <v>14</v>
      </c>
      <c r="H21" s="150" t="s">
        <v>15</v>
      </c>
      <c r="I21" s="149" t="s">
        <v>16</v>
      </c>
      <c r="J21" s="149" t="s">
        <v>17</v>
      </c>
      <c r="K21" s="149" t="s">
        <v>18</v>
      </c>
      <c r="L21" s="149" t="s">
        <v>19</v>
      </c>
      <c r="M21" s="149" t="s">
        <v>31</v>
      </c>
      <c r="N21" s="220"/>
      <c r="O21" s="152"/>
      <c r="P21" s="152"/>
    </row>
    <row r="22" spans="1:16" x14ac:dyDescent="0.25">
      <c r="A22" s="181"/>
      <c r="B22" s="187"/>
      <c r="C22" s="190"/>
      <c r="D22" s="151"/>
      <c r="E22" s="151"/>
      <c r="F22" s="181"/>
      <c r="G22" s="181"/>
      <c r="H22" s="191"/>
      <c r="I22" s="181"/>
      <c r="J22" s="181"/>
      <c r="K22" s="181"/>
      <c r="L22" s="181"/>
      <c r="M22" s="151"/>
      <c r="N22" s="152"/>
      <c r="O22" s="152"/>
      <c r="P22" s="152"/>
    </row>
    <row r="23" spans="1:16" x14ac:dyDescent="0.25">
      <c r="A23" s="181"/>
      <c r="B23" s="187"/>
      <c r="C23" s="190"/>
      <c r="D23" s="151"/>
      <c r="E23" s="151"/>
      <c r="F23" s="181"/>
      <c r="G23" s="181"/>
      <c r="H23" s="191"/>
      <c r="I23" s="181"/>
      <c r="J23" s="181"/>
      <c r="K23" s="181"/>
      <c r="L23" s="181"/>
      <c r="M23" s="162"/>
      <c r="N23" s="152"/>
      <c r="O23" s="152"/>
      <c r="P23" s="152"/>
    </row>
    <row r="24" spans="1:16" x14ac:dyDescent="0.25">
      <c r="A24" s="402"/>
      <c r="B24" s="399" t="s">
        <v>161</v>
      </c>
      <c r="C24" s="388"/>
      <c r="D24" s="388"/>
      <c r="E24" s="388"/>
      <c r="F24" s="388"/>
      <c r="G24" s="388"/>
      <c r="H24" s="388"/>
      <c r="I24" s="388"/>
      <c r="J24" s="148"/>
      <c r="K24" s="148"/>
      <c r="L24" s="148"/>
      <c r="M24" s="148">
        <f>SUM(M13:M20)</f>
        <v>0</v>
      </c>
      <c r="N24" s="108"/>
      <c r="O24" s="108"/>
      <c r="P24" s="108"/>
    </row>
    <row r="25" spans="1:16" x14ac:dyDescent="0.25">
      <c r="A25" s="403"/>
      <c r="B25" s="400"/>
      <c r="C25" s="389"/>
      <c r="D25" s="389"/>
      <c r="E25" s="389"/>
      <c r="F25" s="389"/>
      <c r="G25" s="389"/>
      <c r="H25" s="389"/>
      <c r="I25" s="389"/>
      <c r="J25" s="139"/>
      <c r="K25" s="139"/>
      <c r="L25" s="139"/>
      <c r="M25" s="207" t="s">
        <v>76</v>
      </c>
      <c r="N25" s="108"/>
      <c r="O25" s="108"/>
      <c r="P25" s="108"/>
    </row>
    <row r="26" spans="1:16" x14ac:dyDescent="0.25">
      <c r="A26" s="165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x14ac:dyDescent="0.25">
      <c r="A27" s="165"/>
      <c r="B27" s="108"/>
      <c r="C27" s="108"/>
      <c r="D27" s="108"/>
      <c r="E27" s="108"/>
      <c r="F27" s="108"/>
      <c r="G27" s="108"/>
      <c r="H27" s="108"/>
      <c r="I27" s="108"/>
      <c r="J27" s="108"/>
      <c r="K27" s="390" t="s">
        <v>187</v>
      </c>
      <c r="L27" s="390"/>
      <c r="M27" s="390"/>
      <c r="N27" s="107"/>
      <c r="O27" s="107"/>
      <c r="P27" s="107"/>
    </row>
    <row r="28" spans="1:16" x14ac:dyDescent="0.25">
      <c r="A28" s="165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x14ac:dyDescent="0.25">
      <c r="A29" s="16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x14ac:dyDescent="0.25">
      <c r="A30" s="165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x14ac:dyDescent="0.25">
      <c r="A31" s="165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x14ac:dyDescent="0.25">
      <c r="A32" s="165"/>
      <c r="B32" s="108"/>
      <c r="C32" s="108"/>
      <c r="D32" s="108"/>
      <c r="E32" s="108"/>
      <c r="F32" s="108"/>
      <c r="G32" s="108"/>
      <c r="H32" s="108"/>
      <c r="I32" s="108"/>
      <c r="J32" s="108"/>
      <c r="K32" s="390" t="s">
        <v>254</v>
      </c>
      <c r="L32" s="390"/>
      <c r="M32" s="390"/>
      <c r="N32" s="108"/>
      <c r="O32" s="108"/>
      <c r="P32" s="108"/>
    </row>
    <row r="33" spans="1:16" x14ac:dyDescent="0.25">
      <c r="A33" s="165"/>
      <c r="B33" s="108"/>
      <c r="C33" s="108"/>
      <c r="D33" s="108"/>
      <c r="E33" s="108"/>
      <c r="F33" s="108"/>
      <c r="G33" s="108"/>
      <c r="H33" s="108"/>
      <c r="I33" s="108"/>
      <c r="J33" s="108"/>
      <c r="K33" s="390" t="s">
        <v>255</v>
      </c>
      <c r="L33" s="390"/>
      <c r="M33" s="390"/>
      <c r="N33" s="108"/>
      <c r="O33" s="108"/>
      <c r="P33" s="108"/>
    </row>
  </sheetData>
  <mergeCells count="25">
    <mergeCell ref="K32:M32"/>
    <mergeCell ref="K33:M33"/>
    <mergeCell ref="F24:F25"/>
    <mergeCell ref="G24:G25"/>
    <mergeCell ref="H24:H25"/>
    <mergeCell ref="I24:I25"/>
    <mergeCell ref="K27:M27"/>
    <mergeCell ref="A24:A25"/>
    <mergeCell ref="B24:B25"/>
    <mergeCell ref="C24:C25"/>
    <mergeCell ref="D24:D25"/>
    <mergeCell ref="E24:E25"/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70"/>
  <sheetViews>
    <sheetView tabSelected="1" view="pageBreakPreview" zoomScale="40" zoomScaleNormal="50" zoomScaleSheetLayoutView="40" workbookViewId="0">
      <selection activeCell="A31" sqref="A31"/>
    </sheetView>
  </sheetViews>
  <sheetFormatPr defaultRowHeight="15" x14ac:dyDescent="0.25"/>
  <cols>
    <col min="1" max="1" width="9.28515625" bestFit="1" customWidth="1"/>
    <col min="2" max="2" width="29.85546875" customWidth="1"/>
    <col min="3" max="3" width="32.140625" bestFit="1" customWidth="1"/>
    <col min="4" max="4" width="22.7109375" bestFit="1" customWidth="1"/>
    <col min="5" max="5" width="15.5703125" customWidth="1"/>
    <col min="6" max="8" width="31.28515625" bestFit="1" customWidth="1"/>
    <col min="9" max="9" width="26.5703125" bestFit="1" customWidth="1"/>
    <col min="10" max="10" width="39.7109375" customWidth="1"/>
    <col min="11" max="11" width="19.140625" bestFit="1" customWidth="1"/>
    <col min="12" max="12" width="19.85546875" customWidth="1"/>
    <col min="13" max="13" width="34.140625" customWidth="1"/>
  </cols>
  <sheetData>
    <row r="1" spans="1:16" ht="20.25" x14ac:dyDescent="0.3">
      <c r="A1" s="315"/>
      <c r="B1" s="316"/>
      <c r="C1" s="316"/>
      <c r="D1" s="316"/>
      <c r="E1" s="316"/>
      <c r="F1" s="316"/>
      <c r="G1" s="316"/>
      <c r="H1" s="317"/>
      <c r="I1" s="316"/>
      <c r="J1" s="316"/>
      <c r="K1" s="316"/>
      <c r="L1" s="316"/>
      <c r="M1" s="316"/>
      <c r="N1" s="316"/>
      <c r="O1" s="316"/>
      <c r="P1" s="316"/>
    </row>
    <row r="2" spans="1:16" ht="20.25" x14ac:dyDescent="0.3">
      <c r="A2" s="315"/>
      <c r="B2" s="316"/>
      <c r="C2" s="316"/>
      <c r="D2" s="316"/>
      <c r="E2" s="316"/>
      <c r="F2" s="316"/>
      <c r="G2" s="316"/>
      <c r="H2" s="317"/>
      <c r="I2" s="316"/>
      <c r="J2" s="316"/>
      <c r="K2" s="316"/>
      <c r="L2" s="316"/>
      <c r="M2" s="316"/>
      <c r="N2" s="316"/>
      <c r="O2" s="316"/>
      <c r="P2" s="316"/>
    </row>
    <row r="3" spans="1:16" ht="20.25" x14ac:dyDescent="0.3">
      <c r="A3" s="315"/>
      <c r="B3" s="316"/>
      <c r="C3" s="316"/>
      <c r="D3" s="316"/>
      <c r="E3" s="316"/>
      <c r="F3" s="316"/>
      <c r="G3" s="316"/>
      <c r="H3" s="317"/>
      <c r="I3" s="316"/>
      <c r="J3" s="316"/>
      <c r="K3" s="316"/>
      <c r="L3" s="316"/>
      <c r="M3" s="316"/>
      <c r="N3" s="316"/>
      <c r="O3" s="316"/>
      <c r="P3" s="316"/>
    </row>
    <row r="4" spans="1:16" ht="20.25" x14ac:dyDescent="0.3">
      <c r="A4" s="315"/>
      <c r="B4" s="316"/>
      <c r="C4" s="316"/>
      <c r="D4" s="316"/>
      <c r="E4" s="316"/>
      <c r="F4" s="316"/>
      <c r="G4" s="316"/>
      <c r="H4" s="317"/>
      <c r="I4" s="316"/>
      <c r="J4" s="316"/>
      <c r="K4" s="316"/>
      <c r="L4" s="316"/>
      <c r="M4" s="316"/>
      <c r="N4" s="316"/>
      <c r="O4" s="316"/>
      <c r="P4" s="316"/>
    </row>
    <row r="5" spans="1:16" ht="20.25" x14ac:dyDescent="0.25">
      <c r="A5" s="428" t="s">
        <v>23</v>
      </c>
      <c r="B5" s="428"/>
      <c r="C5" s="428"/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8"/>
      <c r="O5" s="428"/>
      <c r="P5" s="428"/>
    </row>
    <row r="6" spans="1:16" ht="20.25" x14ac:dyDescent="0.25">
      <c r="A6" s="428" t="s">
        <v>285</v>
      </c>
      <c r="B6" s="428"/>
      <c r="C6" s="428"/>
      <c r="D6" s="428"/>
      <c r="E6" s="428"/>
      <c r="F6" s="428"/>
      <c r="G6" s="428"/>
      <c r="H6" s="428"/>
      <c r="I6" s="428"/>
      <c r="J6" s="428"/>
      <c r="K6" s="428"/>
      <c r="L6" s="428"/>
      <c r="M6" s="428"/>
      <c r="N6" s="428"/>
      <c r="O6" s="428"/>
      <c r="P6" s="428"/>
    </row>
    <row r="7" spans="1:16" ht="20.25" x14ac:dyDescent="0.25">
      <c r="A7" s="428" t="s">
        <v>200</v>
      </c>
      <c r="B7" s="428"/>
      <c r="C7" s="428"/>
      <c r="D7" s="428"/>
      <c r="E7" s="428"/>
      <c r="F7" s="428"/>
      <c r="G7" s="428"/>
      <c r="H7" s="428"/>
      <c r="I7" s="428"/>
      <c r="J7" s="428"/>
      <c r="K7" s="428"/>
      <c r="L7" s="428"/>
      <c r="M7" s="428"/>
      <c r="N7" s="428"/>
      <c r="O7" s="428"/>
      <c r="P7" s="428"/>
    </row>
    <row r="8" spans="1:16" ht="20.25" x14ac:dyDescent="0.3">
      <c r="A8" s="315"/>
      <c r="B8" s="429"/>
      <c r="C8" s="429"/>
      <c r="D8" s="429"/>
      <c r="E8" s="429"/>
      <c r="F8" s="429"/>
      <c r="G8" s="429"/>
      <c r="H8" s="429"/>
      <c r="I8" s="429"/>
      <c r="J8" s="318"/>
      <c r="K8" s="318"/>
      <c r="L8" s="318"/>
      <c r="M8" s="316"/>
      <c r="N8" s="316"/>
      <c r="O8" s="316"/>
      <c r="P8" s="316"/>
    </row>
    <row r="9" spans="1:16" ht="20.25" x14ac:dyDescent="0.25">
      <c r="A9" s="426" t="s">
        <v>27</v>
      </c>
      <c r="B9" s="430" t="s">
        <v>28</v>
      </c>
      <c r="C9" s="431"/>
      <c r="D9" s="431"/>
      <c r="E9" s="432"/>
      <c r="F9" s="430" t="s">
        <v>145</v>
      </c>
      <c r="G9" s="431"/>
      <c r="H9" s="431"/>
      <c r="I9" s="432"/>
      <c r="J9" s="430" t="s">
        <v>29</v>
      </c>
      <c r="K9" s="432"/>
      <c r="L9" s="433" t="s">
        <v>34</v>
      </c>
      <c r="M9" s="433" t="s">
        <v>154</v>
      </c>
      <c r="N9" s="435"/>
      <c r="O9" s="435"/>
      <c r="P9" s="435"/>
    </row>
    <row r="10" spans="1:16" ht="20.25" x14ac:dyDescent="0.25">
      <c r="A10" s="427"/>
      <c r="B10" s="319" t="s">
        <v>2</v>
      </c>
      <c r="C10" s="320" t="s">
        <v>3</v>
      </c>
      <c r="D10" s="319" t="s">
        <v>74</v>
      </c>
      <c r="E10" s="319" t="s">
        <v>4</v>
      </c>
      <c r="F10" s="321" t="s">
        <v>51</v>
      </c>
      <c r="G10" s="321" t="s">
        <v>142</v>
      </c>
      <c r="H10" s="321" t="s">
        <v>61</v>
      </c>
      <c r="I10" s="322" t="s">
        <v>6</v>
      </c>
      <c r="J10" s="319" t="s">
        <v>3</v>
      </c>
      <c r="K10" s="319" t="s">
        <v>7</v>
      </c>
      <c r="L10" s="434"/>
      <c r="M10" s="434"/>
      <c r="N10" s="435"/>
      <c r="O10" s="435"/>
      <c r="P10" s="435"/>
    </row>
    <row r="11" spans="1:16" ht="20.25" x14ac:dyDescent="0.25">
      <c r="A11" s="323">
        <v>1</v>
      </c>
      <c r="B11" s="323">
        <v>2</v>
      </c>
      <c r="C11" s="324" t="s">
        <v>40</v>
      </c>
      <c r="D11" s="324" t="s">
        <v>41</v>
      </c>
      <c r="E11" s="324" t="s">
        <v>42</v>
      </c>
      <c r="F11" s="325" t="s">
        <v>43</v>
      </c>
      <c r="G11" s="324" t="s">
        <v>44</v>
      </c>
      <c r="H11" s="324" t="s">
        <v>45</v>
      </c>
      <c r="I11" s="324">
        <v>9</v>
      </c>
      <c r="J11" s="324">
        <v>10</v>
      </c>
      <c r="K11" s="324">
        <v>11</v>
      </c>
      <c r="L11" s="324">
        <v>12</v>
      </c>
      <c r="M11" s="324" t="s">
        <v>164</v>
      </c>
      <c r="N11" s="326"/>
      <c r="O11" s="315"/>
      <c r="P11" s="315"/>
    </row>
    <row r="12" spans="1:16" ht="20.25" x14ac:dyDescent="0.25">
      <c r="A12" s="327" t="s">
        <v>37</v>
      </c>
      <c r="B12" s="328" t="s">
        <v>36</v>
      </c>
      <c r="C12" s="329"/>
      <c r="D12" s="330"/>
      <c r="E12" s="330"/>
      <c r="F12" s="331"/>
      <c r="G12" s="331"/>
      <c r="H12" s="332"/>
      <c r="I12" s="331"/>
      <c r="J12" s="330"/>
      <c r="K12" s="333"/>
      <c r="L12" s="333"/>
      <c r="M12" s="331"/>
      <c r="N12" s="334"/>
      <c r="O12" s="334"/>
      <c r="P12" s="334"/>
    </row>
    <row r="13" spans="1:16" ht="20.25" x14ac:dyDescent="0.25">
      <c r="A13" s="335"/>
      <c r="B13" s="336" t="s">
        <v>256</v>
      </c>
      <c r="C13" s="337"/>
      <c r="D13" s="335"/>
      <c r="E13" s="335"/>
      <c r="F13" s="338"/>
      <c r="G13" s="338"/>
      <c r="H13" s="339"/>
      <c r="I13" s="338"/>
      <c r="J13" s="340"/>
      <c r="K13" s="341"/>
      <c r="L13" s="341"/>
      <c r="M13" s="342"/>
      <c r="N13" s="334"/>
      <c r="O13" s="334"/>
      <c r="P13" s="334"/>
    </row>
    <row r="14" spans="1:16" ht="20.25" x14ac:dyDescent="0.25">
      <c r="A14" s="335"/>
      <c r="B14" s="336" t="s">
        <v>283</v>
      </c>
      <c r="C14" s="337">
        <f>BABEK!C$13</f>
        <v>8100126840931000</v>
      </c>
      <c r="D14" s="337" t="str">
        <f>BABEK!D$13</f>
        <v>Rupiah Murni</v>
      </c>
      <c r="E14" s="337" t="str">
        <f>BABEK!E$13</f>
        <v>Mandiri</v>
      </c>
      <c r="F14" s="343">
        <f>BABEK!F$13</f>
        <v>0</v>
      </c>
      <c r="G14" s="343">
        <f>BABEK!G$13</f>
        <v>0</v>
      </c>
      <c r="H14" s="344">
        <f>BABEK!H$13</f>
        <v>81368200</v>
      </c>
      <c r="I14" s="343">
        <f>BABEK!I$13</f>
        <v>0</v>
      </c>
      <c r="J14" s="337" t="str">
        <f>BABEK!J$13</f>
        <v>000311</v>
      </c>
      <c r="K14" s="345">
        <f>BABEK!K$13</f>
        <v>44546</v>
      </c>
      <c r="L14" s="345">
        <f>BABEK!L$13</f>
        <v>45869</v>
      </c>
      <c r="M14" s="343">
        <f>F14+G14+H14+I15</f>
        <v>81368200</v>
      </c>
      <c r="N14" s="334"/>
      <c r="O14" s="334"/>
      <c r="P14" s="334"/>
    </row>
    <row r="15" spans="1:16" ht="20.25" x14ac:dyDescent="0.25">
      <c r="A15" s="335"/>
      <c r="B15" s="336"/>
      <c r="C15" s="337"/>
      <c r="D15" s="335"/>
      <c r="E15" s="335"/>
      <c r="F15" s="338"/>
      <c r="G15" s="338"/>
      <c r="H15" s="339"/>
      <c r="I15" s="338"/>
      <c r="J15" s="340"/>
      <c r="K15" s="341"/>
      <c r="L15" s="341"/>
      <c r="M15" s="343"/>
      <c r="N15" s="334"/>
      <c r="O15" s="334"/>
      <c r="P15" s="334"/>
    </row>
    <row r="16" spans="1:16" ht="20.25" x14ac:dyDescent="0.25">
      <c r="A16" s="335"/>
      <c r="B16" s="336" t="s">
        <v>257</v>
      </c>
      <c r="C16" s="337"/>
      <c r="D16" s="335"/>
      <c r="E16" s="335"/>
      <c r="F16" s="338"/>
      <c r="G16" s="338"/>
      <c r="H16" s="339"/>
      <c r="I16" s="338"/>
      <c r="J16" s="340"/>
      <c r="K16" s="341"/>
      <c r="L16" s="341"/>
      <c r="M16" s="343"/>
      <c r="N16" s="334"/>
      <c r="O16" s="334"/>
      <c r="P16" s="334"/>
    </row>
    <row r="17" spans="1:16" ht="20.25" x14ac:dyDescent="0.25">
      <c r="A17" s="335"/>
      <c r="B17" s="336" t="s">
        <v>258</v>
      </c>
      <c r="C17" s="337">
        <f>PUSKES!C$13</f>
        <v>8100126841361000</v>
      </c>
      <c r="D17" s="337" t="str">
        <f>PUSKES!D13</f>
        <v>Rupiah Murni</v>
      </c>
      <c r="E17" s="337" t="str">
        <f>PUSKES!E13</f>
        <v>Mandiri</v>
      </c>
      <c r="F17" s="343">
        <f>PUSKES!F13</f>
        <v>0</v>
      </c>
      <c r="G17" s="343">
        <f>PUSKES!G13</f>
        <v>0</v>
      </c>
      <c r="H17" s="344">
        <f>PUSKES!H13</f>
        <v>42498039</v>
      </c>
      <c r="I17" s="343">
        <f>PUSKES!I13</f>
        <v>0</v>
      </c>
      <c r="J17" s="337" t="str">
        <f>PUSKES!J13</f>
        <v>000313</v>
      </c>
      <c r="K17" s="345">
        <f>PUSKES!K13</f>
        <v>44546</v>
      </c>
      <c r="L17" s="345">
        <f>PUSKES!L13</f>
        <v>45867</v>
      </c>
      <c r="M17" s="343">
        <f t="shared" ref="M17:M49" si="0">F17+G17+H17+I18</f>
        <v>42498039</v>
      </c>
      <c r="N17" s="334"/>
      <c r="O17" s="334"/>
      <c r="P17" s="334"/>
    </row>
    <row r="18" spans="1:16" ht="20.25" x14ac:dyDescent="0.25">
      <c r="A18" s="335"/>
      <c r="B18" s="336" t="s">
        <v>259</v>
      </c>
      <c r="C18" s="337">
        <f>PUSPSI!C$13</f>
        <v>8100123448801000</v>
      </c>
      <c r="D18" s="337" t="str">
        <f>PUSPSI!D$13</f>
        <v>Rupiah Murni</v>
      </c>
      <c r="E18" s="337" t="str">
        <f>PUSPSI!E$13</f>
        <v>Mandiri</v>
      </c>
      <c r="F18" s="343">
        <f>PUSPSI!F$13</f>
        <v>0</v>
      </c>
      <c r="G18" s="343">
        <f>PUSPSI!G$13</f>
        <v>0</v>
      </c>
      <c r="H18" s="343">
        <f>PUSPSI!H$13</f>
        <v>0</v>
      </c>
      <c r="I18" s="343">
        <f>PUSPSI!I$13</f>
        <v>0</v>
      </c>
      <c r="J18" s="337" t="str">
        <f>PUSPSI!J$13</f>
        <v>S-3573/KPN.1201/2022</v>
      </c>
      <c r="K18" s="345">
        <f>PUSPSI!K$13</f>
        <v>44917</v>
      </c>
      <c r="L18" s="345">
        <f>PUSPSI!L$13</f>
        <v>45869</v>
      </c>
      <c r="M18" s="343">
        <f t="shared" si="0"/>
        <v>0</v>
      </c>
      <c r="N18" s="334"/>
      <c r="O18" s="334"/>
      <c r="P18" s="334"/>
    </row>
    <row r="19" spans="1:16" ht="20.25" x14ac:dyDescent="0.25">
      <c r="A19" s="335"/>
      <c r="B19" s="336"/>
      <c r="C19" s="337"/>
      <c r="D19" s="335"/>
      <c r="E19" s="335"/>
      <c r="F19" s="338"/>
      <c r="G19" s="338"/>
      <c r="H19" s="339"/>
      <c r="I19" s="338"/>
      <c r="J19" s="340"/>
      <c r="K19" s="341"/>
      <c r="L19" s="341"/>
      <c r="M19" s="343"/>
      <c r="N19" s="334"/>
      <c r="O19" s="334"/>
      <c r="P19" s="334"/>
    </row>
    <row r="20" spans="1:16" ht="20.25" x14ac:dyDescent="0.25">
      <c r="A20" s="335"/>
      <c r="B20" s="336" t="s">
        <v>260</v>
      </c>
      <c r="C20" s="337"/>
      <c r="D20" s="335"/>
      <c r="E20" s="335"/>
      <c r="F20" s="338"/>
      <c r="G20" s="338"/>
      <c r="H20" s="339"/>
      <c r="I20" s="338"/>
      <c r="J20" s="340"/>
      <c r="K20" s="341"/>
      <c r="L20" s="341"/>
      <c r="M20" s="343"/>
      <c r="N20" s="334"/>
      <c r="O20" s="334"/>
      <c r="P20" s="334"/>
    </row>
    <row r="21" spans="1:16" ht="20.25" x14ac:dyDescent="0.25">
      <c r="A21" s="335"/>
      <c r="B21" s="336" t="s">
        <v>261</v>
      </c>
      <c r="C21" s="337">
        <f>BAIS!C$13</f>
        <v>8100126840301000</v>
      </c>
      <c r="D21" s="337" t="str">
        <f>BAIS!D$13</f>
        <v>IDR</v>
      </c>
      <c r="E21" s="337" t="str">
        <f>BAIS!E$13</f>
        <v>MANDIRI</v>
      </c>
      <c r="F21" s="343">
        <f>BAIS!F$13</f>
        <v>40000000000</v>
      </c>
      <c r="G21" s="343">
        <f>BAIS!G$13</f>
        <v>61838666657</v>
      </c>
      <c r="H21" s="343">
        <f>BAIS!H$13</f>
        <v>21483352530</v>
      </c>
      <c r="I21" s="343">
        <f>BAIS!I$13</f>
        <v>0</v>
      </c>
      <c r="J21" s="337" t="str">
        <f>BAIS!J$13</f>
        <v>S-3034/WPB.12/KP.01/2020</v>
      </c>
      <c r="K21" s="345">
        <f>BAIS!K$13</f>
        <v>44140</v>
      </c>
      <c r="L21" s="345">
        <f>BAIS!L$13</f>
        <v>45861</v>
      </c>
      <c r="M21" s="343">
        <f t="shared" si="0"/>
        <v>123322019187</v>
      </c>
      <c r="N21" s="334"/>
      <c r="O21" s="334"/>
      <c r="P21" s="334"/>
    </row>
    <row r="22" spans="1:16" ht="20.25" x14ac:dyDescent="0.25">
      <c r="A22" s="335"/>
      <c r="B22" s="336"/>
      <c r="C22" s="337"/>
      <c r="D22" s="335"/>
      <c r="E22" s="335"/>
      <c r="F22" s="338"/>
      <c r="G22" s="338"/>
      <c r="H22" s="339"/>
      <c r="I22" s="338"/>
      <c r="J22" s="340"/>
      <c r="K22" s="341"/>
      <c r="L22" s="341"/>
      <c r="M22" s="343"/>
      <c r="N22" s="334"/>
      <c r="O22" s="334"/>
      <c r="P22" s="334"/>
    </row>
    <row r="23" spans="1:16" ht="20.25" x14ac:dyDescent="0.25">
      <c r="A23" s="335"/>
      <c r="B23" s="336" t="s">
        <v>262</v>
      </c>
      <c r="C23" s="337"/>
      <c r="D23" s="335"/>
      <c r="E23" s="335"/>
      <c r="F23" s="338"/>
      <c r="G23" s="338"/>
      <c r="H23" s="339"/>
      <c r="I23" s="338"/>
      <c r="J23" s="340"/>
      <c r="K23" s="341"/>
      <c r="L23" s="341"/>
      <c r="M23" s="343"/>
      <c r="N23" s="334"/>
      <c r="O23" s="334"/>
      <c r="P23" s="334"/>
    </row>
    <row r="24" spans="1:16" ht="20.25" x14ac:dyDescent="0.25">
      <c r="A24" s="335"/>
      <c r="B24" s="336" t="s">
        <v>263</v>
      </c>
      <c r="C24" s="337">
        <f>PUSKU!C$13</f>
        <v>8100126841991000</v>
      </c>
      <c r="D24" s="337" t="str">
        <f>PUSKU!D$13</f>
        <v>IDR</v>
      </c>
      <c r="E24" s="337" t="str">
        <f>PUSKU!E$13</f>
        <v>Mandiri</v>
      </c>
      <c r="F24" s="343">
        <f>PUSKU!F$13</f>
        <v>0</v>
      </c>
      <c r="G24" s="343">
        <f>PUSKU!G$13</f>
        <v>0</v>
      </c>
      <c r="H24" s="343">
        <f>PUSKU!H$13</f>
        <v>402818432</v>
      </c>
      <c r="I24" s="343">
        <f>PUSKU!I$13</f>
        <v>0</v>
      </c>
      <c r="J24" s="337" t="str">
        <f>PUSKU!J$13</f>
        <v>S-3034/WPB.12/KP.01/2020</v>
      </c>
      <c r="K24" s="345">
        <f>PUSKU!K$13</f>
        <v>44140</v>
      </c>
      <c r="L24" s="345" t="str">
        <f>PUSKU!L$13</f>
        <v>-</v>
      </c>
      <c r="M24" s="343">
        <f t="shared" si="0"/>
        <v>402818432</v>
      </c>
      <c r="N24" s="334"/>
      <c r="O24" s="334"/>
      <c r="P24" s="334"/>
    </row>
    <row r="25" spans="1:16" ht="20.25" x14ac:dyDescent="0.25">
      <c r="A25" s="335"/>
      <c r="B25" s="336" t="s">
        <v>264</v>
      </c>
      <c r="C25" s="337">
        <f>'MAKO AKADEMI'!C$13</f>
        <v>8100126841571000</v>
      </c>
      <c r="D25" s="337" t="str">
        <f>'MAKO AKADEMI'!D$13</f>
        <v>IDR</v>
      </c>
      <c r="E25" s="337" t="str">
        <f>'MAKO AKADEMI'!E$13</f>
        <v>Mandiri</v>
      </c>
      <c r="F25" s="343">
        <f>'MAKO AKADEMI'!F$13</f>
        <v>0</v>
      </c>
      <c r="G25" s="343">
        <f>'MAKO AKADEMI'!G$13</f>
        <v>0</v>
      </c>
      <c r="H25" s="343">
        <f>'MAKO AKADEMI'!H$13</f>
        <v>387181048</v>
      </c>
      <c r="I25" s="343">
        <f>'MAKO AKADEMI'!I$13</f>
        <v>0</v>
      </c>
      <c r="J25" s="337" t="str">
        <f>'MAKO AKADEMI'!J$13</f>
        <v>S-3034/WPB.12/KP.01/2020</v>
      </c>
      <c r="K25" s="345">
        <f>'MAKO AKADEMI'!K$13</f>
        <v>44140</v>
      </c>
      <c r="L25" s="345">
        <f>'MAKO AKADEMI'!L$13</f>
        <v>45862</v>
      </c>
      <c r="M25" s="343">
        <f t="shared" si="0"/>
        <v>387181048</v>
      </c>
      <c r="N25" s="334"/>
      <c r="O25" s="334"/>
      <c r="P25" s="334"/>
    </row>
    <row r="26" spans="1:16" ht="20.25" x14ac:dyDescent="0.25">
      <c r="A26" s="335"/>
      <c r="B26" s="336" t="s">
        <v>265</v>
      </c>
      <c r="C26" s="337">
        <f>PUSPEN!C$13</f>
        <v>8100126841401000</v>
      </c>
      <c r="D26" s="337" t="str">
        <f>PUSPEN!D$13</f>
        <v>IDR</v>
      </c>
      <c r="E26" s="337" t="str">
        <f>PUSPEN!E$13</f>
        <v>Mandiri</v>
      </c>
      <c r="F26" s="343">
        <f>PUSPEN!F$13</f>
        <v>0</v>
      </c>
      <c r="G26" s="343">
        <f>PUSPEN!G$13</f>
        <v>0</v>
      </c>
      <c r="H26" s="343">
        <f>PUSPEN!H$13</f>
        <v>38670000</v>
      </c>
      <c r="I26" s="343">
        <f>PUSPEN!I$13</f>
        <v>0</v>
      </c>
      <c r="J26" s="337" t="str">
        <f>PUSPEN!J$13</f>
        <v>S-3034/WPB,12/KP,01/2020</v>
      </c>
      <c r="K26" s="345">
        <f>PUSPEN!K$13</f>
        <v>44137</v>
      </c>
      <c r="L26" s="345">
        <f>PUSPEN!L$13</f>
        <v>45868</v>
      </c>
      <c r="M26" s="343">
        <f t="shared" si="0"/>
        <v>38670000</v>
      </c>
      <c r="N26" s="334"/>
      <c r="O26" s="334"/>
      <c r="P26" s="334"/>
    </row>
    <row r="27" spans="1:16" ht="20.25" x14ac:dyDescent="0.25">
      <c r="A27" s="335"/>
      <c r="B27" s="336" t="s">
        <v>266</v>
      </c>
      <c r="C27" s="337">
        <f>PUSDALOPS!C$13</f>
        <v>8100126842321000</v>
      </c>
      <c r="D27" s="337" t="str">
        <f>PUSDALOPS!D$13</f>
        <v>IDR</v>
      </c>
      <c r="E27" s="337" t="str">
        <f>PUSDALOPS!E$13</f>
        <v>Mandiri</v>
      </c>
      <c r="F27" s="343">
        <f>PUSDALOPS!F$13</f>
        <v>0</v>
      </c>
      <c r="G27" s="343">
        <f>PUSDALOPS!G$13</f>
        <v>0</v>
      </c>
      <c r="H27" s="343">
        <f>PUSDALOPS!H$13</f>
        <v>52478500</v>
      </c>
      <c r="I27" s="343">
        <f>PUSDALOPS!I$13</f>
        <v>0</v>
      </c>
      <c r="J27" s="337" t="str">
        <f>PUSDALOPS!J$13</f>
        <v>S-3034/wpb,12/kp.01/2020</v>
      </c>
      <c r="K27" s="345">
        <f>PUSDALOPS!K$13</f>
        <v>44140</v>
      </c>
      <c r="L27" s="345">
        <f>PUSDALOPS!L$13</f>
        <v>45866</v>
      </c>
      <c r="M27" s="343">
        <f t="shared" si="0"/>
        <v>52478500</v>
      </c>
      <c r="N27" s="334"/>
      <c r="O27" s="334"/>
      <c r="P27" s="334"/>
    </row>
    <row r="28" spans="1:16" ht="20.25" x14ac:dyDescent="0.25">
      <c r="A28" s="335"/>
      <c r="B28" s="336"/>
      <c r="C28" s="337"/>
      <c r="D28" s="335"/>
      <c r="E28" s="335"/>
      <c r="F28" s="338"/>
      <c r="G28" s="338"/>
      <c r="H28" s="339"/>
      <c r="I28" s="338"/>
      <c r="J28" s="340"/>
      <c r="K28" s="341"/>
      <c r="L28" s="341"/>
      <c r="M28" s="343"/>
      <c r="N28" s="334"/>
      <c r="O28" s="334"/>
      <c r="P28" s="334"/>
    </row>
    <row r="29" spans="1:16" ht="20.25" x14ac:dyDescent="0.25">
      <c r="A29" s="335"/>
      <c r="B29" s="336" t="s">
        <v>267</v>
      </c>
      <c r="C29" s="337"/>
      <c r="D29" s="335"/>
      <c r="E29" s="335"/>
      <c r="F29" s="338"/>
      <c r="G29" s="338"/>
      <c r="H29" s="339"/>
      <c r="I29" s="338"/>
      <c r="J29" s="340"/>
      <c r="K29" s="341"/>
      <c r="L29" s="341"/>
      <c r="M29" s="343"/>
      <c r="N29" s="334"/>
      <c r="O29" s="334"/>
      <c r="P29" s="334"/>
    </row>
    <row r="30" spans="1:16" ht="20.25" x14ac:dyDescent="0.25">
      <c r="A30" s="335"/>
      <c r="B30" s="336" t="s">
        <v>268</v>
      </c>
      <c r="C30" s="337">
        <f>PASPAMPRES!C$13</f>
        <v>8100126840471000</v>
      </c>
      <c r="D30" s="337" t="str">
        <f>PASPAMPRES!D$13</f>
        <v>Rupiah Murni</v>
      </c>
      <c r="E30" s="337" t="str">
        <f>PASPAMPRES!E$13</f>
        <v>Mandiri</v>
      </c>
      <c r="F30" s="343">
        <f>PASPAMPRES!F$13</f>
        <v>0</v>
      </c>
      <c r="G30" s="343">
        <f>PASPAMPRES!G$13</f>
        <v>0</v>
      </c>
      <c r="H30" s="343">
        <f>PASPAMPRES!H$13</f>
        <v>135556104</v>
      </c>
      <c r="I30" s="343">
        <f>PASPAMPRES!I$13</f>
        <v>0</v>
      </c>
      <c r="J30" s="337" t="str">
        <f>PASPAMPRES!J$13</f>
        <v>S-3034/WPB.12/KP.01/2020</v>
      </c>
      <c r="K30" s="345">
        <f>PASPAMPRES!K$13</f>
        <v>44140</v>
      </c>
      <c r="L30" s="345">
        <f>PASPAMPRES!L$13</f>
        <v>45867</v>
      </c>
      <c r="M30" s="343">
        <f t="shared" si="0"/>
        <v>135556104</v>
      </c>
      <c r="N30" s="334"/>
      <c r="O30" s="334"/>
      <c r="P30" s="334"/>
    </row>
    <row r="31" spans="1:16" ht="20.25" x14ac:dyDescent="0.25">
      <c r="A31" s="335"/>
      <c r="B31" s="336" t="s">
        <v>269</v>
      </c>
      <c r="C31" s="337">
        <f>PUSJIANSTRA!C$13</f>
        <v>8100126840721000</v>
      </c>
      <c r="D31" s="337" t="str">
        <f>PUSJIANSTRA!D$13</f>
        <v>Rupiah Murni</v>
      </c>
      <c r="E31" s="337" t="str">
        <f>PUSJIANSTRA!E$13</f>
        <v>Mandiri</v>
      </c>
      <c r="F31" s="343">
        <f>PUSJIANSTRA!F$13</f>
        <v>0</v>
      </c>
      <c r="G31" s="343">
        <f>PUSJIANSTRA!G$13</f>
        <v>0</v>
      </c>
      <c r="H31" s="343">
        <f>PUSJIANSTRA!H$13</f>
        <v>43977500</v>
      </c>
      <c r="I31" s="343">
        <f>PUSJIANSTRA!I$13</f>
        <v>0</v>
      </c>
      <c r="J31" s="337" t="str">
        <f>PUSJIANSTRA!J$13</f>
        <v>S-3034/WPB.12/KP.01/2020</v>
      </c>
      <c r="K31" s="345">
        <f>PUSJIANSTRA!K$13</f>
        <v>44140</v>
      </c>
      <c r="L31" s="345">
        <f>PUSJIANSTRA!L$13</f>
        <v>45847</v>
      </c>
      <c r="M31" s="343">
        <f t="shared" si="0"/>
        <v>43977500</v>
      </c>
      <c r="N31" s="334"/>
      <c r="O31" s="334"/>
      <c r="P31" s="334"/>
    </row>
    <row r="32" spans="1:16" ht="20.25" x14ac:dyDescent="0.25">
      <c r="A32" s="335"/>
      <c r="B32" s="336"/>
      <c r="C32" s="337"/>
      <c r="D32" s="335"/>
      <c r="E32" s="335"/>
      <c r="F32" s="338"/>
      <c r="G32" s="338"/>
      <c r="H32" s="339"/>
      <c r="I32" s="338"/>
      <c r="J32" s="340"/>
      <c r="K32" s="341"/>
      <c r="L32" s="341"/>
      <c r="M32" s="343"/>
      <c r="N32" s="334"/>
      <c r="O32" s="334"/>
      <c r="P32" s="334"/>
    </row>
    <row r="33" spans="1:16" ht="20.25" x14ac:dyDescent="0.25">
      <c r="A33" s="335"/>
      <c r="B33" s="336" t="s">
        <v>270</v>
      </c>
      <c r="C33" s="337"/>
      <c r="D33" s="335"/>
      <c r="E33" s="335"/>
      <c r="F33" s="338"/>
      <c r="G33" s="338"/>
      <c r="H33" s="339"/>
      <c r="I33" s="338"/>
      <c r="J33" s="340"/>
      <c r="K33" s="341"/>
      <c r="L33" s="341"/>
      <c r="M33" s="343"/>
      <c r="N33" s="334"/>
      <c r="O33" s="334"/>
      <c r="P33" s="334"/>
    </row>
    <row r="34" spans="1:16" ht="20.25" x14ac:dyDescent="0.25">
      <c r="A34" s="335"/>
      <c r="B34" s="336" t="s">
        <v>271</v>
      </c>
      <c r="C34" s="337">
        <f>BABINKUM!C$13</f>
        <v>8100126841611000</v>
      </c>
      <c r="D34" s="337" t="str">
        <f>BABINKUM!D$13</f>
        <v>Rupiah Murni</v>
      </c>
      <c r="E34" s="337" t="str">
        <f>BABINKUM!E$13</f>
        <v>Mandiri</v>
      </c>
      <c r="F34" s="343">
        <f>BABINKUM!F$13</f>
        <v>0</v>
      </c>
      <c r="G34" s="343">
        <f>BABINKUM!G$13</f>
        <v>0</v>
      </c>
      <c r="H34" s="343">
        <f>BABINKUM!H$13</f>
        <v>0</v>
      </c>
      <c r="I34" s="343">
        <f>BABINKUM!I$13</f>
        <v>0</v>
      </c>
      <c r="J34" s="337" t="str">
        <f>BABINKUM!J$13</f>
        <v>S-1794/WPB.12/KP,01/2020</v>
      </c>
      <c r="K34" s="345">
        <f>BABINKUM!K$13</f>
        <v>44036</v>
      </c>
      <c r="L34" s="345">
        <f>BABINKUM!L$13</f>
        <v>45869</v>
      </c>
      <c r="M34" s="343">
        <f t="shared" si="0"/>
        <v>0</v>
      </c>
      <c r="N34" s="334"/>
      <c r="O34" s="334"/>
      <c r="P34" s="334"/>
    </row>
    <row r="35" spans="1:16" ht="20.25" x14ac:dyDescent="0.25">
      <c r="A35" s="335"/>
      <c r="B35" s="336" t="s">
        <v>272</v>
      </c>
      <c r="C35" s="337">
        <f>SETUM!C$13</f>
        <v>8100126841151000</v>
      </c>
      <c r="D35" s="337" t="str">
        <f>SETUM!D$13</f>
        <v>Rupiah Murni</v>
      </c>
      <c r="E35" s="337" t="str">
        <f>SETUM!E$13</f>
        <v>Mandiri</v>
      </c>
      <c r="F35" s="343">
        <f>SETUM!F$13</f>
        <v>0</v>
      </c>
      <c r="G35" s="343">
        <f>SETUM!G$13</f>
        <v>0</v>
      </c>
      <c r="H35" s="343">
        <f>SETUM!H$13</f>
        <v>0</v>
      </c>
      <c r="I35" s="343">
        <f>SETUM!I$13</f>
        <v>0</v>
      </c>
      <c r="J35" s="337" t="str">
        <f>SETUM!J$13</f>
        <v>S-3034/WPB.12/KP.01/2020</v>
      </c>
      <c r="K35" s="345">
        <f>SETUM!K$13</f>
        <v>44140</v>
      </c>
      <c r="L35" s="345">
        <f>SETUM!L$13</f>
        <v>45869</v>
      </c>
      <c r="M35" s="343">
        <f t="shared" si="0"/>
        <v>0</v>
      </c>
      <c r="N35" s="334"/>
      <c r="O35" s="334"/>
      <c r="P35" s="334"/>
    </row>
    <row r="36" spans="1:16" ht="20.25" x14ac:dyDescent="0.25">
      <c r="A36" s="335"/>
      <c r="B36" s="336" t="s">
        <v>273</v>
      </c>
      <c r="C36" s="337">
        <f>PUSBINTAL!C$13</f>
        <v>8100126841221000</v>
      </c>
      <c r="D36" s="337" t="str">
        <f>PUSBINTAL!D$13</f>
        <v>IDR</v>
      </c>
      <c r="E36" s="337" t="str">
        <f>PUSBINTAL!E$13</f>
        <v>MANDIRI</v>
      </c>
      <c r="F36" s="343">
        <f>PUSBINTAL!F$13</f>
        <v>0</v>
      </c>
      <c r="G36" s="343">
        <f>PUSBINTAL!G$13</f>
        <v>0</v>
      </c>
      <c r="H36" s="343">
        <f>PUSBINTAL!H$13</f>
        <v>0</v>
      </c>
      <c r="I36" s="343">
        <f>PUSBINTAL!I$13</f>
        <v>0</v>
      </c>
      <c r="J36" s="337" t="str">
        <f>PUSBINTAL!J$13</f>
        <v>S-3034/WPB.12/KP.01/2020</v>
      </c>
      <c r="K36" s="345">
        <f>PUSBINTAL!K$13</f>
        <v>44140</v>
      </c>
      <c r="L36" s="345">
        <f>PUSBINTAL!L$13</f>
        <v>45869</v>
      </c>
      <c r="M36" s="343">
        <f t="shared" si="0"/>
        <v>0</v>
      </c>
      <c r="N36" s="334"/>
      <c r="O36" s="334"/>
      <c r="P36" s="334"/>
    </row>
    <row r="37" spans="1:16" ht="20.25" x14ac:dyDescent="0.25">
      <c r="A37" s="335"/>
      <c r="B37" s="336"/>
      <c r="C37" s="337"/>
      <c r="D37" s="335"/>
      <c r="E37" s="335"/>
      <c r="F37" s="338"/>
      <c r="G37" s="338"/>
      <c r="H37" s="339"/>
      <c r="I37" s="338"/>
      <c r="J37" s="340"/>
      <c r="K37" s="341"/>
      <c r="L37" s="341"/>
      <c r="M37" s="343">
        <f t="shared" si="0"/>
        <v>0</v>
      </c>
      <c r="N37" s="334"/>
      <c r="O37" s="334"/>
      <c r="P37" s="334"/>
    </row>
    <row r="38" spans="1:16" ht="20.25" x14ac:dyDescent="0.25">
      <c r="A38" s="335"/>
      <c r="B38" s="336" t="s">
        <v>274</v>
      </c>
      <c r="C38" s="337"/>
      <c r="D38" s="335"/>
      <c r="E38" s="335"/>
      <c r="F38" s="338"/>
      <c r="G38" s="338"/>
      <c r="H38" s="339"/>
      <c r="I38" s="338"/>
      <c r="J38" s="340"/>
      <c r="K38" s="341"/>
      <c r="L38" s="341"/>
      <c r="M38" s="343">
        <f t="shared" si="0"/>
        <v>0</v>
      </c>
      <c r="N38" s="334"/>
      <c r="O38" s="334"/>
      <c r="P38" s="334"/>
    </row>
    <row r="39" spans="1:16" ht="20.25" x14ac:dyDescent="0.25">
      <c r="A39" s="335"/>
      <c r="B39" s="336" t="s">
        <v>275</v>
      </c>
      <c r="C39" s="337">
        <f>PUSJAS!C$13</f>
        <v>8100126865211000</v>
      </c>
      <c r="D39" s="337" t="str">
        <f>PUSJAS!D$13</f>
        <v>Rupiah Murni</v>
      </c>
      <c r="E39" s="337" t="str">
        <f>PUSJAS!E$13</f>
        <v>Mandiri</v>
      </c>
      <c r="F39" s="343">
        <f>PUSJAS!F$13</f>
        <v>0</v>
      </c>
      <c r="G39" s="343">
        <f>PUSJAS!G$13</f>
        <v>0</v>
      </c>
      <c r="H39" s="343">
        <f>PUSJAS!H$13</f>
        <v>10850000</v>
      </c>
      <c r="I39" s="343">
        <f>PUSJAS!I$13</f>
        <v>0</v>
      </c>
      <c r="J39" s="337" t="str">
        <f>PUSJAS!J$13</f>
        <v>000318</v>
      </c>
      <c r="K39" s="345">
        <f>PUSJAS!K$13</f>
        <v>44546</v>
      </c>
      <c r="L39" s="345">
        <f>PUSJAS!L$13</f>
        <v>45846</v>
      </c>
      <c r="M39" s="343">
        <f t="shared" si="0"/>
        <v>10850000</v>
      </c>
      <c r="N39" s="334"/>
      <c r="O39" s="334"/>
      <c r="P39" s="334"/>
    </row>
    <row r="40" spans="1:16" ht="20.25" x14ac:dyDescent="0.25">
      <c r="A40" s="335"/>
      <c r="B40" s="336" t="s">
        <v>276</v>
      </c>
      <c r="C40" s="337">
        <f>PUSKERSIN!C$13</f>
        <v>8100126865271000</v>
      </c>
      <c r="D40" s="337" t="str">
        <f>PUSKERSIN!D$13</f>
        <v>Rupiah Murni</v>
      </c>
      <c r="E40" s="337" t="str">
        <f>PUSKERSIN!E$13</f>
        <v>Mandiri</v>
      </c>
      <c r="F40" s="343">
        <f>PUSKERSIN!F$13</f>
        <v>0</v>
      </c>
      <c r="G40" s="343">
        <f>PUSKERSIN!G$13</f>
        <v>0</v>
      </c>
      <c r="H40" s="343">
        <f>PUSKERSIN!H$13</f>
        <v>240128000</v>
      </c>
      <c r="I40" s="343">
        <f>PUSKERSIN!I$13</f>
        <v>0</v>
      </c>
      <c r="J40" s="337" t="str">
        <f>PUSKERSIN!J$13</f>
        <v>S-3034/WPB.12/KP.01/2020</v>
      </c>
      <c r="K40" s="345">
        <f>PUSKERSIN!K$13</f>
        <v>44140</v>
      </c>
      <c r="L40" s="345">
        <f>PUSKERSIN!L$13</f>
        <v>45863</v>
      </c>
      <c r="M40" s="343">
        <f t="shared" si="0"/>
        <v>240128000</v>
      </c>
      <c r="N40" s="334"/>
      <c r="O40" s="334"/>
      <c r="P40" s="334"/>
    </row>
    <row r="41" spans="1:16" ht="20.25" x14ac:dyDescent="0.25">
      <c r="A41" s="335"/>
      <c r="B41" s="336" t="s">
        <v>277</v>
      </c>
      <c r="C41" s="337">
        <f>PUSPOM!C$13</f>
        <v>8100126841821000</v>
      </c>
      <c r="D41" s="337" t="str">
        <f>PUSPOM!D$13</f>
        <v>Rupiah Murni</v>
      </c>
      <c r="E41" s="337" t="str">
        <f>PUSPOM!E$13</f>
        <v>Mandiri</v>
      </c>
      <c r="F41" s="343">
        <f>PUSPOM!F$13</f>
        <v>0</v>
      </c>
      <c r="G41" s="343">
        <f>PUSPOM!G$13</f>
        <v>0</v>
      </c>
      <c r="H41" s="343">
        <f>PUSPOM!H$13</f>
        <v>0</v>
      </c>
      <c r="I41" s="343">
        <f>PUSPOM!I$13</f>
        <v>0</v>
      </c>
      <c r="J41" s="337" t="str">
        <f>PUSPOM!J$13</f>
        <v>S-3034/WPB.12/KP.01/2020</v>
      </c>
      <c r="K41" s="345">
        <f>PUSPOM!K$13</f>
        <v>44140</v>
      </c>
      <c r="L41" s="345">
        <f>PUSPOM!L$13</f>
        <v>0</v>
      </c>
      <c r="M41" s="343">
        <f t="shared" si="0"/>
        <v>0</v>
      </c>
      <c r="N41" s="334"/>
      <c r="O41" s="334"/>
      <c r="P41" s="334"/>
    </row>
    <row r="42" spans="1:16" ht="20.25" x14ac:dyDescent="0.25">
      <c r="A42" s="335"/>
      <c r="B42" s="336" t="s">
        <v>278</v>
      </c>
      <c r="C42" s="337">
        <f>SATSIBER!C$13</f>
        <v>8100124176501000</v>
      </c>
      <c r="D42" s="337" t="str">
        <f>SATSIBER!D$13</f>
        <v>Rupiah Murni</v>
      </c>
      <c r="E42" s="337" t="str">
        <f>SATSIBER!E$13</f>
        <v>Mandiri</v>
      </c>
      <c r="F42" s="343">
        <f>SATSIBER!F$13</f>
        <v>0</v>
      </c>
      <c r="G42" s="343">
        <f>SATSIBER!G$13</f>
        <v>0</v>
      </c>
      <c r="H42" s="343">
        <f>SATSIBER!H$13</f>
        <v>72362825</v>
      </c>
      <c r="I42" s="343">
        <f>SATSIBER!I$13</f>
        <v>0</v>
      </c>
      <c r="J42" s="337" t="str">
        <f>SATSIBER!J$13</f>
        <v>S-3034/WPB.12/KP.01/2020</v>
      </c>
      <c r="K42" s="345">
        <f>SATSIBER!K$13</f>
        <v>44140</v>
      </c>
      <c r="L42" s="345">
        <f>SATSIBER!L$13</f>
        <v>45866</v>
      </c>
      <c r="M42" s="343">
        <f t="shared" si="0"/>
        <v>72362825</v>
      </c>
      <c r="N42" s="334"/>
      <c r="O42" s="334"/>
      <c r="P42" s="334"/>
    </row>
    <row r="43" spans="1:16" ht="20.25" x14ac:dyDescent="0.25">
      <c r="A43" s="335"/>
      <c r="B43" s="336"/>
      <c r="C43" s="337"/>
      <c r="D43" s="335"/>
      <c r="E43" s="335"/>
      <c r="F43" s="338"/>
      <c r="G43" s="338"/>
      <c r="H43" s="339"/>
      <c r="I43" s="338"/>
      <c r="J43" s="340"/>
      <c r="K43" s="341"/>
      <c r="L43" s="341"/>
      <c r="M43" s="343">
        <f t="shared" si="0"/>
        <v>0</v>
      </c>
      <c r="N43" s="334"/>
      <c r="O43" s="334"/>
      <c r="P43" s="334"/>
    </row>
    <row r="44" spans="1:16" ht="20.25" x14ac:dyDescent="0.25">
      <c r="A44" s="335"/>
      <c r="B44" s="336" t="s">
        <v>279</v>
      </c>
      <c r="C44" s="337"/>
      <c r="D44" s="335"/>
      <c r="E44" s="335"/>
      <c r="F44" s="338"/>
      <c r="G44" s="338"/>
      <c r="H44" s="339"/>
      <c r="I44" s="338"/>
      <c r="J44" s="340"/>
      <c r="K44" s="341"/>
      <c r="L44" s="341"/>
      <c r="M44" s="343">
        <f t="shared" si="0"/>
        <v>0</v>
      </c>
      <c r="N44" s="334"/>
      <c r="O44" s="334"/>
      <c r="P44" s="334"/>
    </row>
    <row r="45" spans="1:16" ht="20.25" x14ac:dyDescent="0.25">
      <c r="A45" s="335"/>
      <c r="B45" s="336" t="s">
        <v>284</v>
      </c>
      <c r="C45" s="337">
        <f>PUSINFORMAR!C$13</f>
        <v>8100126380201000</v>
      </c>
      <c r="D45" s="337" t="str">
        <f>PUSINFORMAR!D$13</f>
        <v>IDR</v>
      </c>
      <c r="E45" s="337" t="str">
        <f>PUSINFORMAR!E$13</f>
        <v xml:space="preserve">Mandiri </v>
      </c>
      <c r="F45" s="343">
        <f>PUSINFORMAR!F$13</f>
        <v>0</v>
      </c>
      <c r="G45" s="343">
        <f>PUSINFORMAR!G$13</f>
        <v>0</v>
      </c>
      <c r="H45" s="343">
        <f>PUSINFORMAR!H$13</f>
        <v>75082500</v>
      </c>
      <c r="I45" s="343">
        <f>PUSINFORMAR!I$13</f>
        <v>0</v>
      </c>
      <c r="J45" s="337" t="str">
        <f>PUSINFORMAR!J$13</f>
        <v>S-522/WPB.12/KP.01/2021</v>
      </c>
      <c r="K45" s="345">
        <f>PUSINFORMAR!K$13</f>
        <v>44249</v>
      </c>
      <c r="L45" s="345">
        <f>PUSINFORMAR!L$13</f>
        <v>45842</v>
      </c>
      <c r="M45" s="343">
        <f>F45+G45+H45+I45</f>
        <v>75082500</v>
      </c>
      <c r="N45" s="334"/>
      <c r="O45" s="334"/>
      <c r="P45" s="334"/>
    </row>
    <row r="46" spans="1:16" ht="20.25" x14ac:dyDescent="0.25">
      <c r="A46" s="335"/>
      <c r="B46" s="336" t="s">
        <v>280</v>
      </c>
      <c r="C46" s="337">
        <f>'GARTAP I'!C$13</f>
        <v>8100126804681000</v>
      </c>
      <c r="D46" s="337" t="str">
        <f>'GARTAP I'!D$13</f>
        <v>IDR</v>
      </c>
      <c r="E46" s="337" t="str">
        <f>'GARTAP I'!E$13</f>
        <v>MANDIRI</v>
      </c>
      <c r="F46" s="343">
        <f>'GARTAP I'!F$13</f>
        <v>0</v>
      </c>
      <c r="G46" s="343">
        <f>'GARTAP I'!G$13</f>
        <v>300000000</v>
      </c>
      <c r="H46" s="343">
        <f>'GARTAP I'!H$13</f>
        <v>0</v>
      </c>
      <c r="I46" s="343">
        <f>'GARTAP I'!I$13</f>
        <v>956997800</v>
      </c>
      <c r="J46" s="337" t="str">
        <f>'GARTAP I'!J$13</f>
        <v>S-3034/WPB.12/KP.01/2020</v>
      </c>
      <c r="K46" s="345">
        <f>'GARTAP I'!K$13</f>
        <v>44140</v>
      </c>
      <c r="L46" s="345">
        <f>'GARTAP I'!L$13</f>
        <v>45847</v>
      </c>
      <c r="M46" s="343">
        <f>F46+G46+H46+I46</f>
        <v>1256997800</v>
      </c>
      <c r="N46" s="334"/>
      <c r="O46" s="334"/>
      <c r="P46" s="334"/>
    </row>
    <row r="47" spans="1:16" ht="20.25" x14ac:dyDescent="0.25">
      <c r="A47" s="335"/>
      <c r="B47" s="336"/>
      <c r="C47" s="337"/>
      <c r="D47" s="335"/>
      <c r="E47" s="335"/>
      <c r="F47" s="338"/>
      <c r="G47" s="338"/>
      <c r="H47" s="339"/>
      <c r="I47" s="338"/>
      <c r="J47" s="340"/>
      <c r="K47" s="341"/>
      <c r="L47" s="341"/>
      <c r="M47" s="343"/>
      <c r="N47" s="334"/>
      <c r="O47" s="334"/>
      <c r="P47" s="334"/>
    </row>
    <row r="48" spans="1:16" ht="20.25" x14ac:dyDescent="0.25">
      <c r="A48" s="335"/>
      <c r="B48" s="336" t="s">
        <v>281</v>
      </c>
      <c r="C48" s="337"/>
      <c r="D48" s="335"/>
      <c r="E48" s="335"/>
      <c r="F48" s="338"/>
      <c r="G48" s="338"/>
      <c r="H48" s="339"/>
      <c r="I48" s="338"/>
      <c r="J48" s="340"/>
      <c r="K48" s="341"/>
      <c r="L48" s="341"/>
      <c r="M48" s="343"/>
      <c r="N48" s="334"/>
      <c r="O48" s="334"/>
      <c r="P48" s="334"/>
    </row>
    <row r="49" spans="1:16" ht="20.25" x14ac:dyDescent="0.25">
      <c r="A49" s="335"/>
      <c r="B49" s="336" t="s">
        <v>282</v>
      </c>
      <c r="C49" s="337">
        <f>'KOGABWILHAN III'!C$13</f>
        <v>8100126320491000</v>
      </c>
      <c r="D49" s="337" t="str">
        <f>'KOGABWILHAN III'!D$13</f>
        <v>Rupiah Murni</v>
      </c>
      <c r="E49" s="337" t="str">
        <f>'KOGABWILHAN III'!E$13</f>
        <v>Mandiri</v>
      </c>
      <c r="F49" s="343">
        <f>'KOGABWILHAN III'!F$13</f>
        <v>0</v>
      </c>
      <c r="G49" s="343">
        <f>'KOGABWILHAN III'!G$13</f>
        <v>0</v>
      </c>
      <c r="H49" s="343">
        <f>'KOGABWILHAN III'!H$13</f>
        <v>0</v>
      </c>
      <c r="I49" s="343">
        <f>'KOGABWILHAN III'!I$13</f>
        <v>0</v>
      </c>
      <c r="J49" s="337">
        <f>'KOGABWILHAN III'!J$13</f>
        <v>0</v>
      </c>
      <c r="K49" s="345">
        <f>'KOGABWILHAN III'!K$13</f>
        <v>0</v>
      </c>
      <c r="L49" s="345">
        <f>'KOGABWILHAN III'!L$13</f>
        <v>45862</v>
      </c>
      <c r="M49" s="343">
        <f t="shared" si="0"/>
        <v>0</v>
      </c>
      <c r="N49" s="334"/>
      <c r="O49" s="334"/>
      <c r="P49" s="334"/>
    </row>
    <row r="50" spans="1:16" ht="20.25" x14ac:dyDescent="0.25">
      <c r="A50" s="335"/>
      <c r="B50" s="336"/>
      <c r="C50" s="337"/>
      <c r="D50" s="335"/>
      <c r="E50" s="335"/>
      <c r="F50" s="338"/>
      <c r="G50" s="338"/>
      <c r="H50" s="339"/>
      <c r="I50" s="338"/>
      <c r="J50" s="340"/>
      <c r="K50" s="341"/>
      <c r="L50" s="341"/>
      <c r="M50" s="342"/>
      <c r="N50" s="334"/>
      <c r="O50" s="334"/>
      <c r="P50" s="334"/>
    </row>
    <row r="51" spans="1:16" ht="20.25" x14ac:dyDescent="0.25">
      <c r="A51" s="335"/>
      <c r="B51" s="336"/>
      <c r="C51" s="337"/>
      <c r="D51" s="335"/>
      <c r="E51" s="335"/>
      <c r="F51" s="338"/>
      <c r="G51" s="338"/>
      <c r="H51" s="339"/>
      <c r="I51" s="338"/>
      <c r="J51" s="340"/>
      <c r="K51" s="341"/>
      <c r="L51" s="341"/>
      <c r="M51" s="342"/>
      <c r="N51" s="334"/>
      <c r="O51" s="334"/>
      <c r="P51" s="334"/>
    </row>
    <row r="52" spans="1:16" ht="101.25" x14ac:dyDescent="0.25">
      <c r="A52" s="346" t="s">
        <v>38</v>
      </c>
      <c r="B52" s="347" t="s">
        <v>87</v>
      </c>
      <c r="C52" s="348"/>
      <c r="D52" s="349"/>
      <c r="E52" s="349"/>
      <c r="F52" s="338"/>
      <c r="G52" s="338"/>
      <c r="H52" s="339"/>
      <c r="I52" s="338"/>
      <c r="J52" s="340"/>
      <c r="K52" s="341"/>
      <c r="L52" s="341"/>
      <c r="M52" s="342"/>
      <c r="N52" s="334"/>
      <c r="O52" s="334"/>
      <c r="P52" s="334"/>
    </row>
    <row r="53" spans="1:16" ht="107.25" customHeight="1" x14ac:dyDescent="0.25">
      <c r="A53" s="335">
        <v>1</v>
      </c>
      <c r="B53" s="350" t="s">
        <v>159</v>
      </c>
      <c r="C53" s="337"/>
      <c r="D53" s="335"/>
      <c r="E53" s="349"/>
      <c r="F53" s="351"/>
      <c r="G53" s="351"/>
      <c r="H53" s="352"/>
      <c r="I53" s="351"/>
      <c r="J53" s="353"/>
      <c r="K53" s="354"/>
      <c r="L53" s="354"/>
      <c r="M53" s="342"/>
      <c r="N53" s="334"/>
      <c r="O53" s="334"/>
      <c r="P53" s="334"/>
    </row>
    <row r="54" spans="1:16" ht="20.25" x14ac:dyDescent="0.25">
      <c r="A54" s="335"/>
      <c r="B54" s="350"/>
      <c r="C54" s="337"/>
      <c r="D54" s="335"/>
      <c r="E54" s="335"/>
      <c r="F54" s="351"/>
      <c r="G54" s="351"/>
      <c r="H54" s="352"/>
      <c r="I54" s="351"/>
      <c r="J54" s="353"/>
      <c r="K54" s="354"/>
      <c r="L54" s="354"/>
      <c r="M54" s="342"/>
      <c r="N54" s="334"/>
      <c r="O54" s="334"/>
      <c r="P54" s="334"/>
    </row>
    <row r="55" spans="1:16" ht="100.5" customHeight="1" x14ac:dyDescent="0.25">
      <c r="A55" s="335">
        <v>2</v>
      </c>
      <c r="B55" s="350" t="s">
        <v>160</v>
      </c>
      <c r="C55" s="337"/>
      <c r="D55" s="335"/>
      <c r="E55" s="335"/>
      <c r="F55" s="351"/>
      <c r="G55" s="351"/>
      <c r="H55" s="352"/>
      <c r="I55" s="351"/>
      <c r="J55" s="353"/>
      <c r="K55" s="354"/>
      <c r="L55" s="354"/>
      <c r="M55" s="342"/>
      <c r="N55" s="334"/>
      <c r="O55" s="334"/>
      <c r="P55" s="334"/>
    </row>
    <row r="56" spans="1:16" ht="20.25" x14ac:dyDescent="0.25">
      <c r="A56" s="335"/>
      <c r="B56" s="350"/>
      <c r="C56" s="355"/>
      <c r="D56" s="335"/>
      <c r="E56" s="335"/>
      <c r="F56" s="351"/>
      <c r="G56" s="351"/>
      <c r="H56" s="352"/>
      <c r="I56" s="351"/>
      <c r="J56" s="353"/>
      <c r="K56" s="354"/>
      <c r="L56" s="354"/>
      <c r="M56" s="342"/>
      <c r="N56" s="334"/>
      <c r="O56" s="334"/>
      <c r="P56" s="334"/>
    </row>
    <row r="57" spans="1:16" ht="20.25" x14ac:dyDescent="0.25">
      <c r="A57" s="335"/>
      <c r="B57" s="350"/>
      <c r="C57" s="356"/>
      <c r="D57" s="335"/>
      <c r="E57" s="335"/>
      <c r="F57" s="335"/>
      <c r="G57" s="335"/>
      <c r="H57" s="357"/>
      <c r="I57" s="335"/>
      <c r="J57" s="335"/>
      <c r="K57" s="335"/>
      <c r="L57" s="335"/>
      <c r="M57" s="358"/>
      <c r="N57" s="334"/>
      <c r="O57" s="334"/>
      <c r="P57" s="334"/>
    </row>
    <row r="58" spans="1:16" ht="20.25" x14ac:dyDescent="0.25">
      <c r="A58" s="359" t="s">
        <v>8</v>
      </c>
      <c r="B58" s="359" t="s">
        <v>9</v>
      </c>
      <c r="C58" s="359" t="s">
        <v>10</v>
      </c>
      <c r="D58" s="359" t="s">
        <v>11</v>
      </c>
      <c r="E58" s="359" t="s">
        <v>12</v>
      </c>
      <c r="F58" s="359" t="s">
        <v>13</v>
      </c>
      <c r="G58" s="360" t="s">
        <v>14</v>
      </c>
      <c r="H58" s="360" t="s">
        <v>15</v>
      </c>
      <c r="I58" s="359" t="s">
        <v>16</v>
      </c>
      <c r="J58" s="359" t="s">
        <v>17</v>
      </c>
      <c r="K58" s="359" t="s">
        <v>18</v>
      </c>
      <c r="L58" s="359" t="s">
        <v>19</v>
      </c>
      <c r="M58" s="359" t="s">
        <v>31</v>
      </c>
      <c r="N58" s="326"/>
      <c r="O58" s="334"/>
      <c r="P58" s="334"/>
    </row>
    <row r="59" spans="1:16" ht="10.5" customHeight="1" x14ac:dyDescent="0.25">
      <c r="A59" s="335"/>
      <c r="B59" s="350"/>
      <c r="C59" s="356"/>
      <c r="D59" s="336"/>
      <c r="E59" s="336"/>
      <c r="F59" s="335"/>
      <c r="G59" s="335"/>
      <c r="H59" s="357"/>
      <c r="I59" s="335"/>
      <c r="J59" s="335"/>
      <c r="K59" s="335"/>
      <c r="L59" s="335"/>
      <c r="M59" s="336"/>
      <c r="N59" s="334"/>
      <c r="O59" s="334"/>
      <c r="P59" s="334"/>
    </row>
    <row r="60" spans="1:16" ht="10.5" customHeight="1" x14ac:dyDescent="0.25">
      <c r="A60" s="335"/>
      <c r="B60" s="350"/>
      <c r="C60" s="356"/>
      <c r="D60" s="336"/>
      <c r="E60" s="336"/>
      <c r="F60" s="335"/>
      <c r="G60" s="335"/>
      <c r="H60" s="357"/>
      <c r="I60" s="335"/>
      <c r="J60" s="335"/>
      <c r="K60" s="335"/>
      <c r="L60" s="335"/>
      <c r="M60" s="361"/>
      <c r="N60" s="334"/>
      <c r="O60" s="334"/>
      <c r="P60" s="334"/>
    </row>
    <row r="61" spans="1:16" ht="20.25" x14ac:dyDescent="0.3">
      <c r="A61" s="424"/>
      <c r="B61" s="426" t="s">
        <v>161</v>
      </c>
      <c r="C61" s="422"/>
      <c r="D61" s="422"/>
      <c r="E61" s="422"/>
      <c r="F61" s="422"/>
      <c r="G61" s="422"/>
      <c r="H61" s="422"/>
      <c r="I61" s="422"/>
      <c r="J61" s="362"/>
      <c r="K61" s="362"/>
      <c r="L61" s="362"/>
      <c r="M61" s="363">
        <f>SUM(M14:M56)</f>
        <v>126161988135</v>
      </c>
      <c r="N61" s="316"/>
      <c r="O61" s="316"/>
      <c r="P61" s="316"/>
    </row>
    <row r="62" spans="1:16" ht="20.25" x14ac:dyDescent="0.3">
      <c r="A62" s="425"/>
      <c r="B62" s="427"/>
      <c r="C62" s="423"/>
      <c r="D62" s="423"/>
      <c r="E62" s="423"/>
      <c r="F62" s="423"/>
      <c r="G62" s="423"/>
      <c r="H62" s="423"/>
      <c r="I62" s="423"/>
      <c r="J62" s="364"/>
      <c r="K62" s="364"/>
      <c r="L62" s="364"/>
      <c r="M62" s="365" t="s">
        <v>76</v>
      </c>
      <c r="N62" s="316"/>
      <c r="O62" s="316"/>
      <c r="P62" s="316"/>
    </row>
    <row r="63" spans="1:16" x14ac:dyDescent="0.25">
      <c r="A63" s="165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</row>
    <row r="64" spans="1:16" x14ac:dyDescent="0.25">
      <c r="A64" s="165"/>
      <c r="B64" s="108"/>
      <c r="C64" s="108"/>
      <c r="D64" s="108"/>
      <c r="E64" s="108"/>
      <c r="F64" s="108"/>
      <c r="G64" s="108"/>
      <c r="H64" s="108"/>
      <c r="I64" s="108"/>
      <c r="J64" s="108"/>
      <c r="K64" s="390"/>
      <c r="L64" s="390"/>
      <c r="M64" s="390"/>
      <c r="N64" s="107"/>
      <c r="O64" s="107"/>
      <c r="P64" s="107"/>
    </row>
    <row r="65" spans="1:16" x14ac:dyDescent="0.25">
      <c r="A65" s="165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</row>
    <row r="66" spans="1:16" x14ac:dyDescent="0.25">
      <c r="A66" s="165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</row>
    <row r="67" spans="1:16" x14ac:dyDescent="0.25">
      <c r="A67" s="165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</row>
    <row r="68" spans="1:16" x14ac:dyDescent="0.25">
      <c r="A68" s="165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</row>
    <row r="69" spans="1:16" x14ac:dyDescent="0.25">
      <c r="A69" s="165"/>
      <c r="B69" s="108"/>
      <c r="C69" s="108"/>
      <c r="D69" s="108"/>
      <c r="E69" s="108"/>
      <c r="F69" s="108"/>
      <c r="G69" s="108"/>
      <c r="H69" s="108"/>
      <c r="I69" s="108"/>
      <c r="J69" s="108"/>
      <c r="K69" s="390"/>
      <c r="L69" s="390"/>
      <c r="M69" s="390"/>
      <c r="N69" s="108"/>
      <c r="O69" s="108"/>
      <c r="P69" s="108"/>
    </row>
    <row r="70" spans="1:16" x14ac:dyDescent="0.25">
      <c r="A70" s="165"/>
      <c r="B70" s="108"/>
      <c r="C70" s="108"/>
      <c r="D70" s="108"/>
      <c r="E70" s="108"/>
      <c r="F70" s="108"/>
      <c r="G70" s="108"/>
      <c r="H70" s="108"/>
      <c r="I70" s="108"/>
      <c r="J70" s="108"/>
      <c r="K70" s="390"/>
      <c r="L70" s="390"/>
      <c r="M70" s="390"/>
      <c r="N70" s="108"/>
      <c r="O70" s="108"/>
      <c r="P70" s="108"/>
    </row>
  </sheetData>
  <mergeCells count="25">
    <mergeCell ref="A5:P5"/>
    <mergeCell ref="A6:P6"/>
    <mergeCell ref="A7:P7"/>
    <mergeCell ref="B8:I8"/>
    <mergeCell ref="A9:A10"/>
    <mergeCell ref="B9:E9"/>
    <mergeCell ref="F9:I9"/>
    <mergeCell ref="J9:K9"/>
    <mergeCell ref="L9:L10"/>
    <mergeCell ref="M9:M10"/>
    <mergeCell ref="N9:N10"/>
    <mergeCell ref="O9:O10"/>
    <mergeCell ref="P9:P10"/>
    <mergeCell ref="A61:A62"/>
    <mergeCell ref="B61:B62"/>
    <mergeCell ref="C61:C62"/>
    <mergeCell ref="D61:D62"/>
    <mergeCell ref="E61:E62"/>
    <mergeCell ref="K69:M69"/>
    <mergeCell ref="K70:M70"/>
    <mergeCell ref="F61:F62"/>
    <mergeCell ref="G61:G62"/>
    <mergeCell ref="H61:H62"/>
    <mergeCell ref="I61:I62"/>
    <mergeCell ref="K64:M64"/>
  </mergeCells>
  <pageMargins left="0.11811023622047245" right="0.11811023622047245" top="0.35433070866141736" bottom="0.35433070866141736" header="0.31496062992125984" footer="0.31496062992125984"/>
  <pageSetup paperSize="9" scale="42" fitToHeight="2" orientation="landscape" r:id="rId1"/>
  <rowBreaks count="1" manualBreakCount="1">
    <brk id="51" max="12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6:W39"/>
  <sheetViews>
    <sheetView topLeftCell="A4" zoomScaleNormal="100" workbookViewId="0">
      <selection activeCell="C28" sqref="A28:K29"/>
    </sheetView>
  </sheetViews>
  <sheetFormatPr defaultColWidth="9.140625" defaultRowHeight="14.25" x14ac:dyDescent="0.2"/>
  <cols>
    <col min="1" max="1" width="4" style="108" customWidth="1"/>
    <col min="2" max="2" width="11.28515625" style="108" customWidth="1"/>
    <col min="3" max="3" width="15.5703125" style="108" customWidth="1"/>
    <col min="4" max="4" width="21.140625" style="160" customWidth="1"/>
    <col min="5" max="5" width="11.42578125" style="160" customWidth="1"/>
    <col min="6" max="6" width="11.7109375" style="160" customWidth="1"/>
    <col min="7" max="7" width="11.42578125" style="107" customWidth="1"/>
    <col min="8" max="9" width="11.42578125" style="108" customWidth="1"/>
    <col min="10" max="10" width="12.140625" style="108" customWidth="1"/>
    <col min="11" max="14" width="11.42578125" style="108" customWidth="1"/>
    <col min="15" max="15" width="13" style="108" customWidth="1"/>
    <col min="16" max="16" width="13.140625" style="108" hidden="1" customWidth="1"/>
    <col min="17" max="17" width="14" style="108" hidden="1" customWidth="1"/>
    <col min="18" max="18" width="13.140625" style="108" hidden="1" customWidth="1"/>
    <col min="19" max="16384" width="9.140625" style="108"/>
  </cols>
  <sheetData>
    <row r="6" spans="1:23" ht="15" x14ac:dyDescent="0.2">
      <c r="A6" s="397" t="s">
        <v>23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  <c r="Q6" s="397"/>
      <c r="R6" s="397"/>
    </row>
    <row r="7" spans="1:23" ht="15" x14ac:dyDescent="0.2">
      <c r="A7" s="397" t="s">
        <v>88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  <c r="Q7" s="397"/>
      <c r="R7" s="397"/>
    </row>
    <row r="8" spans="1:23" ht="15" x14ac:dyDescent="0.2">
      <c r="A8" s="397" t="s">
        <v>89</v>
      </c>
      <c r="B8" s="397"/>
      <c r="C8" s="397"/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397"/>
      <c r="Q8" s="397"/>
      <c r="R8" s="397"/>
    </row>
    <row r="9" spans="1:23" ht="15" x14ac:dyDescent="0.2">
      <c r="B9" s="397"/>
      <c r="C9" s="397"/>
      <c r="D9" s="397"/>
      <c r="E9" s="397"/>
      <c r="F9" s="397"/>
      <c r="G9" s="397"/>
      <c r="H9" s="397"/>
      <c r="I9" s="397"/>
      <c r="J9" s="397"/>
      <c r="K9" s="397"/>
      <c r="L9" s="109"/>
      <c r="M9" s="109"/>
      <c r="N9" s="109"/>
    </row>
    <row r="10" spans="1:23" ht="16.5" customHeight="1" x14ac:dyDescent="0.2">
      <c r="A10" s="442" t="s">
        <v>27</v>
      </c>
      <c r="B10" s="391" t="s">
        <v>152</v>
      </c>
      <c r="C10" s="392"/>
      <c r="D10" s="401" t="s">
        <v>28</v>
      </c>
      <c r="E10" s="401"/>
      <c r="F10" s="401"/>
      <c r="G10" s="392"/>
      <c r="H10" s="401" t="s">
        <v>145</v>
      </c>
      <c r="I10" s="401"/>
      <c r="J10" s="401"/>
      <c r="K10" s="392"/>
      <c r="L10" s="391" t="s">
        <v>29</v>
      </c>
      <c r="M10" s="392"/>
      <c r="N10" s="393" t="s">
        <v>34</v>
      </c>
      <c r="O10" s="393" t="s">
        <v>154</v>
      </c>
      <c r="P10" s="393" t="s">
        <v>39</v>
      </c>
      <c r="Q10" s="393" t="s">
        <v>24</v>
      </c>
      <c r="R10" s="393" t="s">
        <v>25</v>
      </c>
    </row>
    <row r="11" spans="1:23" ht="35.25" customHeight="1" x14ac:dyDescent="0.2">
      <c r="A11" s="443"/>
      <c r="B11" s="130" t="s">
        <v>1</v>
      </c>
      <c r="C11" s="113" t="s">
        <v>2</v>
      </c>
      <c r="D11" s="113" t="s">
        <v>2</v>
      </c>
      <c r="E11" s="112" t="s">
        <v>3</v>
      </c>
      <c r="F11" s="114" t="s">
        <v>163</v>
      </c>
      <c r="G11" s="114" t="s">
        <v>4</v>
      </c>
      <c r="H11" s="114" t="s">
        <v>51</v>
      </c>
      <c r="I11" s="114" t="s">
        <v>142</v>
      </c>
      <c r="J11" s="114" t="s">
        <v>61</v>
      </c>
      <c r="K11" s="113" t="s">
        <v>6</v>
      </c>
      <c r="L11" s="113" t="s">
        <v>3</v>
      </c>
      <c r="M11" s="113" t="s">
        <v>7</v>
      </c>
      <c r="N11" s="394"/>
      <c r="O11" s="394"/>
      <c r="P11" s="394"/>
      <c r="Q11" s="394"/>
      <c r="R11" s="394"/>
    </row>
    <row r="12" spans="1:23" s="158" customFormat="1" ht="12" x14ac:dyDescent="0.2">
      <c r="A12" s="215">
        <v>1</v>
      </c>
      <c r="B12" s="154">
        <v>2</v>
      </c>
      <c r="C12" s="155">
        <v>3</v>
      </c>
      <c r="D12" s="216">
        <v>4</v>
      </c>
      <c r="E12" s="154">
        <v>5</v>
      </c>
      <c r="F12" s="154">
        <v>6</v>
      </c>
      <c r="G12" s="154">
        <v>7</v>
      </c>
      <c r="H12" s="217">
        <v>8</v>
      </c>
      <c r="I12" s="155">
        <v>9</v>
      </c>
      <c r="J12" s="154">
        <v>10</v>
      </c>
      <c r="K12" s="155">
        <v>11</v>
      </c>
      <c r="L12" s="155">
        <v>12</v>
      </c>
      <c r="M12" s="155">
        <v>13</v>
      </c>
      <c r="N12" s="155">
        <v>14</v>
      </c>
      <c r="O12" s="155" t="s">
        <v>155</v>
      </c>
      <c r="P12" s="157">
        <v>14</v>
      </c>
      <c r="Q12" s="155">
        <v>15</v>
      </c>
      <c r="R12" s="155">
        <v>16</v>
      </c>
    </row>
    <row r="13" spans="1:23" ht="19.5" customHeight="1" x14ac:dyDescent="0.2">
      <c r="A13" s="130" t="s">
        <v>37</v>
      </c>
      <c r="B13" s="119" t="s">
        <v>36</v>
      </c>
      <c r="C13" s="198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27"/>
      <c r="Q13" s="127"/>
      <c r="R13" s="127"/>
    </row>
    <row r="14" spans="1:23" s="145" customFormat="1" x14ac:dyDescent="0.2">
      <c r="A14" s="173">
        <v>1</v>
      </c>
      <c r="B14" s="200" t="s">
        <v>60</v>
      </c>
      <c r="C14" s="200" t="s">
        <v>90</v>
      </c>
      <c r="D14" s="201"/>
      <c r="E14" s="175"/>
      <c r="F14" s="175"/>
      <c r="G14" s="173"/>
      <c r="H14" s="176"/>
      <c r="I14" s="176"/>
      <c r="J14" s="177"/>
      <c r="K14" s="176"/>
      <c r="L14" s="176"/>
      <c r="M14" s="176"/>
      <c r="N14" s="176"/>
      <c r="O14" s="178"/>
      <c r="P14" s="139"/>
      <c r="Q14" s="139"/>
      <c r="R14" s="139"/>
      <c r="S14" s="108"/>
      <c r="T14" s="108"/>
      <c r="U14" s="108"/>
      <c r="V14" s="108"/>
      <c r="W14" s="108"/>
    </row>
    <row r="15" spans="1:23" x14ac:dyDescent="0.2">
      <c r="A15" s="181"/>
      <c r="B15" s="202"/>
      <c r="C15" s="202"/>
      <c r="D15" s="203"/>
      <c r="E15" s="149"/>
      <c r="F15" s="149"/>
      <c r="G15" s="181"/>
      <c r="H15" s="182"/>
      <c r="I15" s="182"/>
      <c r="J15" s="183"/>
      <c r="K15" s="182"/>
      <c r="L15" s="182"/>
      <c r="M15" s="182"/>
      <c r="N15" s="182"/>
      <c r="O15" s="184"/>
      <c r="P15" s="127"/>
      <c r="Q15" s="127"/>
      <c r="R15" s="127"/>
      <c r="S15" s="193"/>
    </row>
    <row r="16" spans="1:23" x14ac:dyDescent="0.2">
      <c r="A16" s="181">
        <v>2</v>
      </c>
      <c r="B16" s="202" t="s">
        <v>60</v>
      </c>
      <c r="C16" s="202" t="s">
        <v>91</v>
      </c>
      <c r="D16" s="203"/>
      <c r="E16" s="149"/>
      <c r="F16" s="149"/>
      <c r="G16" s="181"/>
      <c r="H16" s="182"/>
      <c r="I16" s="182"/>
      <c r="J16" s="183"/>
      <c r="K16" s="182"/>
      <c r="L16" s="182"/>
      <c r="M16" s="182"/>
      <c r="N16" s="182"/>
      <c r="O16" s="184"/>
      <c r="P16" s="127"/>
      <c r="Q16" s="127"/>
      <c r="R16" s="127"/>
    </row>
    <row r="17" spans="1:18" x14ac:dyDescent="0.2">
      <c r="A17" s="181" t="s">
        <v>85</v>
      </c>
      <c r="B17" s="202"/>
      <c r="C17" s="181"/>
      <c r="D17" s="203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4"/>
      <c r="P17" s="127"/>
      <c r="Q17" s="127"/>
      <c r="R17" s="127"/>
    </row>
    <row r="18" spans="1:18" x14ac:dyDescent="0.2">
      <c r="A18" s="181"/>
      <c r="B18" s="202"/>
      <c r="C18" s="181"/>
      <c r="D18" s="203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4"/>
      <c r="P18" s="127"/>
      <c r="Q18" s="127"/>
      <c r="R18" s="127"/>
    </row>
    <row r="19" spans="1:18" x14ac:dyDescent="0.2">
      <c r="A19" s="169"/>
      <c r="B19" s="204"/>
      <c r="C19" s="169"/>
      <c r="D19" s="205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27"/>
      <c r="Q19" s="127"/>
      <c r="R19" s="127"/>
    </row>
    <row r="20" spans="1:18" s="152" customFormat="1" ht="17.25" customHeight="1" x14ac:dyDescent="0.25">
      <c r="A20" s="130" t="s">
        <v>38</v>
      </c>
      <c r="B20" s="444" t="s">
        <v>87</v>
      </c>
      <c r="C20" s="445"/>
      <c r="D20" s="445"/>
      <c r="E20" s="445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51"/>
      <c r="Q20" s="151"/>
      <c r="R20" s="151"/>
    </row>
    <row r="21" spans="1:18" x14ac:dyDescent="0.2">
      <c r="A21" s="181">
        <v>1</v>
      </c>
      <c r="B21" s="151" t="s">
        <v>60</v>
      </c>
      <c r="C21" s="151" t="s">
        <v>90</v>
      </c>
      <c r="D21" s="187"/>
      <c r="E21" s="149"/>
      <c r="F21" s="149"/>
      <c r="G21" s="181"/>
      <c r="H21" s="149"/>
      <c r="I21" s="149"/>
      <c r="J21" s="149"/>
      <c r="K21" s="149"/>
      <c r="L21" s="149"/>
      <c r="M21" s="149"/>
      <c r="N21" s="149"/>
      <c r="O21" s="184"/>
      <c r="P21" s="127"/>
      <c r="Q21" s="127"/>
      <c r="R21" s="127"/>
    </row>
    <row r="22" spans="1:18" x14ac:dyDescent="0.2">
      <c r="A22" s="181"/>
      <c r="B22" s="151"/>
      <c r="C22" s="151"/>
      <c r="D22" s="187"/>
      <c r="E22" s="149"/>
      <c r="F22" s="149"/>
      <c r="G22" s="181"/>
      <c r="H22" s="149"/>
      <c r="I22" s="149"/>
      <c r="J22" s="149"/>
      <c r="K22" s="149"/>
      <c r="L22" s="149"/>
      <c r="M22" s="149"/>
      <c r="N22" s="149"/>
      <c r="O22" s="184"/>
      <c r="P22" s="127"/>
      <c r="Q22" s="127"/>
      <c r="R22" s="127"/>
    </row>
    <row r="23" spans="1:18" x14ac:dyDescent="0.2">
      <c r="A23" s="181">
        <v>2</v>
      </c>
      <c r="B23" s="151" t="s">
        <v>60</v>
      </c>
      <c r="C23" s="151" t="s">
        <v>91</v>
      </c>
      <c r="D23" s="187"/>
      <c r="E23" s="149"/>
      <c r="F23" s="149"/>
      <c r="G23" s="181"/>
      <c r="H23" s="149"/>
      <c r="I23" s="149"/>
      <c r="J23" s="149"/>
      <c r="K23" s="149"/>
      <c r="L23" s="149"/>
      <c r="M23" s="149"/>
      <c r="N23" s="149"/>
      <c r="O23" s="184"/>
      <c r="P23" s="127"/>
      <c r="Q23" s="127"/>
      <c r="R23" s="127"/>
    </row>
    <row r="24" spans="1:18" x14ac:dyDescent="0.2">
      <c r="A24" s="181" t="s">
        <v>85</v>
      </c>
      <c r="B24" s="151"/>
      <c r="C24" s="151"/>
      <c r="D24" s="187"/>
      <c r="E24" s="151"/>
      <c r="F24" s="151"/>
      <c r="G24" s="181"/>
      <c r="H24" s="181"/>
      <c r="I24" s="181"/>
      <c r="J24" s="181"/>
      <c r="K24" s="181"/>
      <c r="L24" s="181"/>
      <c r="M24" s="181"/>
      <c r="N24" s="181"/>
      <c r="O24" s="151"/>
      <c r="P24" s="127"/>
      <c r="Q24" s="127"/>
      <c r="R24" s="127"/>
    </row>
    <row r="25" spans="1:18" x14ac:dyDescent="0.2">
      <c r="A25" s="181"/>
      <c r="B25" s="151"/>
      <c r="C25" s="151"/>
      <c r="D25" s="187"/>
      <c r="E25" s="151"/>
      <c r="F25" s="151"/>
      <c r="G25" s="181"/>
      <c r="H25" s="181"/>
      <c r="I25" s="181"/>
      <c r="J25" s="181"/>
      <c r="K25" s="181"/>
      <c r="L25" s="181"/>
      <c r="M25" s="181"/>
      <c r="N25" s="181"/>
      <c r="O25" s="151"/>
      <c r="P25" s="127"/>
      <c r="Q25" s="127"/>
      <c r="R25" s="127"/>
    </row>
    <row r="26" spans="1:18" s="152" customFormat="1" ht="18" customHeight="1" x14ac:dyDescent="0.25">
      <c r="A26" s="149" t="s">
        <v>8</v>
      </c>
      <c r="B26" s="149" t="s">
        <v>9</v>
      </c>
      <c r="C26" s="149" t="s">
        <v>10</v>
      </c>
      <c r="D26" s="149" t="s">
        <v>11</v>
      </c>
      <c r="E26" s="149" t="s">
        <v>12</v>
      </c>
      <c r="F26" s="149" t="s">
        <v>13</v>
      </c>
      <c r="G26" s="149" t="s">
        <v>14</v>
      </c>
      <c r="H26" s="150" t="s">
        <v>15</v>
      </c>
      <c r="I26" s="149" t="s">
        <v>16</v>
      </c>
      <c r="J26" s="149" t="s">
        <v>17</v>
      </c>
      <c r="K26" s="149" t="s">
        <v>18</v>
      </c>
      <c r="L26" s="149" t="s">
        <v>19</v>
      </c>
      <c r="M26" s="149" t="s">
        <v>31</v>
      </c>
      <c r="N26" s="149" t="s">
        <v>32</v>
      </c>
      <c r="O26" s="149" t="s">
        <v>150</v>
      </c>
      <c r="P26" s="149" t="s">
        <v>19</v>
      </c>
      <c r="Q26" s="151"/>
      <c r="R26" s="151"/>
    </row>
    <row r="27" spans="1:18" x14ac:dyDescent="0.2">
      <c r="A27" s="169"/>
      <c r="B27" s="162"/>
      <c r="C27" s="162"/>
      <c r="D27" s="206"/>
      <c r="E27" s="206"/>
      <c r="F27" s="206"/>
      <c r="G27" s="169"/>
      <c r="H27" s="162"/>
      <c r="I27" s="162"/>
      <c r="J27" s="162"/>
      <c r="K27" s="162"/>
      <c r="L27" s="162"/>
      <c r="M27" s="162"/>
      <c r="N27" s="162"/>
      <c r="O27" s="162"/>
      <c r="P27" s="127"/>
      <c r="Q27" s="127"/>
      <c r="R27" s="127"/>
    </row>
    <row r="28" spans="1:18" ht="13.5" customHeight="1" x14ac:dyDescent="0.2">
      <c r="A28" s="402"/>
      <c r="B28" s="402"/>
      <c r="C28" s="436" t="s">
        <v>151</v>
      </c>
      <c r="D28" s="437"/>
      <c r="E28" s="440"/>
      <c r="F28" s="440"/>
      <c r="G28" s="402"/>
      <c r="H28" s="446"/>
      <c r="I28" s="448"/>
      <c r="J28" s="450"/>
      <c r="K28" s="402"/>
      <c r="L28" s="402"/>
      <c r="M28" s="402"/>
      <c r="N28" s="402"/>
      <c r="O28" s="162" t="s">
        <v>157</v>
      </c>
      <c r="P28" s="127"/>
      <c r="Q28" s="127"/>
      <c r="R28" s="127"/>
    </row>
    <row r="29" spans="1:18" ht="13.5" customHeight="1" x14ac:dyDescent="0.2">
      <c r="A29" s="403"/>
      <c r="B29" s="403"/>
      <c r="C29" s="438"/>
      <c r="D29" s="439"/>
      <c r="E29" s="441"/>
      <c r="F29" s="441"/>
      <c r="G29" s="403"/>
      <c r="H29" s="447"/>
      <c r="I29" s="449"/>
      <c r="J29" s="451"/>
      <c r="K29" s="403"/>
      <c r="L29" s="403"/>
      <c r="M29" s="403"/>
      <c r="N29" s="403"/>
      <c r="O29" s="163" t="s">
        <v>76</v>
      </c>
      <c r="P29" s="207"/>
      <c r="Q29" s="207"/>
      <c r="R29" s="207"/>
    </row>
    <row r="31" spans="1:18" x14ac:dyDescent="0.2">
      <c r="B31" s="390"/>
      <c r="C31" s="390"/>
      <c r="D31" s="108"/>
      <c r="E31" s="108"/>
      <c r="F31" s="108"/>
      <c r="G31" s="108"/>
      <c r="L31" s="390" t="s">
        <v>162</v>
      </c>
      <c r="M31" s="390"/>
      <c r="N31" s="390"/>
      <c r="O31" s="390"/>
    </row>
    <row r="32" spans="1:18" x14ac:dyDescent="0.2">
      <c r="B32" s="390"/>
      <c r="C32" s="390"/>
      <c r="D32" s="108"/>
      <c r="E32" s="108"/>
      <c r="F32" s="108"/>
      <c r="G32" s="108"/>
      <c r="P32" s="390" t="s">
        <v>20</v>
      </c>
      <c r="Q32" s="390"/>
      <c r="R32" s="390"/>
    </row>
    <row r="33" spans="3:18" x14ac:dyDescent="0.2">
      <c r="O33" s="107"/>
    </row>
    <row r="34" spans="3:18" x14ac:dyDescent="0.2">
      <c r="O34" s="107"/>
      <c r="P34" s="107"/>
      <c r="Q34" s="107"/>
      <c r="R34" s="107"/>
    </row>
    <row r="35" spans="3:18" x14ac:dyDescent="0.2">
      <c r="O35" s="107"/>
      <c r="P35" s="107"/>
      <c r="Q35" s="107"/>
      <c r="R35" s="107"/>
    </row>
    <row r="36" spans="3:18" x14ac:dyDescent="0.2">
      <c r="L36" s="390" t="s">
        <v>2</v>
      </c>
      <c r="M36" s="390"/>
      <c r="N36" s="390"/>
      <c r="O36" s="390"/>
    </row>
    <row r="37" spans="3:18" x14ac:dyDescent="0.2">
      <c r="L37" s="390" t="s">
        <v>146</v>
      </c>
      <c r="M37" s="390"/>
      <c r="N37" s="390"/>
      <c r="O37" s="390"/>
    </row>
    <row r="38" spans="3:18" x14ac:dyDescent="0.2">
      <c r="C38" s="107"/>
      <c r="D38" s="108"/>
      <c r="E38" s="108"/>
      <c r="F38" s="108"/>
      <c r="G38" s="108"/>
      <c r="O38" s="107"/>
      <c r="P38" s="390" t="s">
        <v>21</v>
      </c>
      <c r="Q38" s="390"/>
      <c r="R38" s="390"/>
    </row>
    <row r="39" spans="3:18" x14ac:dyDescent="0.2">
      <c r="C39" s="107"/>
      <c r="D39" s="108"/>
      <c r="E39" s="108"/>
      <c r="F39" s="108"/>
      <c r="G39" s="108"/>
      <c r="O39" s="107"/>
      <c r="P39" s="390" t="s">
        <v>22</v>
      </c>
      <c r="Q39" s="390"/>
      <c r="R39" s="390"/>
    </row>
  </sheetData>
  <mergeCells count="36">
    <mergeCell ref="M28:M29"/>
    <mergeCell ref="N28:N29"/>
    <mergeCell ref="L31:O31"/>
    <mergeCell ref="L36:O36"/>
    <mergeCell ref="B20:E20"/>
    <mergeCell ref="H28:H29"/>
    <mergeCell ref="I28:I29"/>
    <mergeCell ref="J28:J29"/>
    <mergeCell ref="K28:K29"/>
    <mergeCell ref="L28:L29"/>
    <mergeCell ref="P38:R38"/>
    <mergeCell ref="P39:R39"/>
    <mergeCell ref="B31:C31"/>
    <mergeCell ref="B32:C32"/>
    <mergeCell ref="P32:R32"/>
    <mergeCell ref="L37:O37"/>
    <mergeCell ref="A6:R6"/>
    <mergeCell ref="A7:R7"/>
    <mergeCell ref="A8:R8"/>
    <mergeCell ref="B9:K9"/>
    <mergeCell ref="A10:A11"/>
    <mergeCell ref="B10:C10"/>
    <mergeCell ref="D10:G10"/>
    <mergeCell ref="H10:K10"/>
    <mergeCell ref="O10:O11"/>
    <mergeCell ref="P10:P11"/>
    <mergeCell ref="Q10:Q11"/>
    <mergeCell ref="R10:R11"/>
    <mergeCell ref="L10:M10"/>
    <mergeCell ref="N10:N11"/>
    <mergeCell ref="A28:A29"/>
    <mergeCell ref="C28:D29"/>
    <mergeCell ref="E28:E29"/>
    <mergeCell ref="F28:F29"/>
    <mergeCell ref="G28:G29"/>
    <mergeCell ref="B28:B29"/>
  </mergeCells>
  <printOptions horizontalCentered="1"/>
  <pageMargins left="1.3779527559055118" right="0" top="0.23622047244094491" bottom="0.74803149606299213" header="0.31496062992125984" footer="0.31496062992125984"/>
  <pageSetup paperSize="5" scale="85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6:AN113"/>
  <sheetViews>
    <sheetView zoomScale="90" zoomScaleNormal="90" workbookViewId="0">
      <selection activeCell="C28" sqref="A28:K29"/>
    </sheetView>
  </sheetViews>
  <sheetFormatPr defaultColWidth="9.140625" defaultRowHeight="14.25" x14ac:dyDescent="0.2"/>
  <cols>
    <col min="1" max="1" width="5" style="108" customWidth="1"/>
    <col min="2" max="2" width="7" style="107" customWidth="1"/>
    <col min="3" max="3" width="21.28515625" style="108" customWidth="1"/>
    <col min="4" max="4" width="23.28515625" style="108" customWidth="1"/>
    <col min="5" max="5" width="17.140625" style="108" customWidth="1"/>
    <col min="6" max="6" width="12.140625" style="108" bestFit="1" customWidth="1"/>
    <col min="7" max="8" width="10" style="108" customWidth="1"/>
    <col min="9" max="10" width="11.5703125" style="108" customWidth="1"/>
    <col min="11" max="11" width="12.5703125" style="108" customWidth="1"/>
    <col min="12" max="12" width="11.5703125" style="108" customWidth="1"/>
    <col min="13" max="13" width="11.28515625" style="108" customWidth="1"/>
    <col min="14" max="14" width="11.7109375" style="108" customWidth="1"/>
    <col min="15" max="15" width="14.140625" style="108" customWidth="1"/>
    <col min="16" max="16" width="16.140625" style="108" customWidth="1"/>
    <col min="17" max="20" width="9.140625" style="108" customWidth="1"/>
    <col min="21" max="21" width="1" style="108" customWidth="1"/>
    <col min="22" max="16384" width="9.140625" style="108"/>
  </cols>
  <sheetData>
    <row r="6" spans="1:40" ht="15" x14ac:dyDescent="0.2">
      <c r="B6" s="397" t="s">
        <v>23</v>
      </c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</row>
    <row r="7" spans="1:40" ht="15" x14ac:dyDescent="0.2">
      <c r="B7" s="397" t="s">
        <v>97</v>
      </c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</row>
    <row r="8" spans="1:40" ht="15" x14ac:dyDescent="0.2">
      <c r="B8" s="397" t="s">
        <v>98</v>
      </c>
      <c r="C8" s="397"/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397"/>
    </row>
    <row r="9" spans="1:40" ht="21.75" customHeight="1" x14ac:dyDescent="0.2">
      <c r="B9" s="397"/>
      <c r="C9" s="397"/>
      <c r="D9" s="397"/>
      <c r="E9" s="397"/>
      <c r="F9" s="397"/>
      <c r="G9" s="397"/>
      <c r="H9" s="397"/>
      <c r="I9" s="397"/>
      <c r="J9" s="397"/>
      <c r="K9" s="397"/>
      <c r="L9" s="397"/>
      <c r="M9" s="109"/>
      <c r="N9" s="109"/>
      <c r="O9" s="109"/>
    </row>
    <row r="10" spans="1:40" ht="24.75" customHeight="1" x14ac:dyDescent="0.2">
      <c r="B10" s="399" t="s">
        <v>27</v>
      </c>
      <c r="C10" s="459" t="s">
        <v>152</v>
      </c>
      <c r="D10" s="459"/>
      <c r="E10" s="459" t="s">
        <v>28</v>
      </c>
      <c r="F10" s="459"/>
      <c r="G10" s="459"/>
      <c r="H10" s="459"/>
      <c r="I10" s="459" t="s">
        <v>145</v>
      </c>
      <c r="J10" s="459"/>
      <c r="K10" s="459"/>
      <c r="L10" s="459"/>
      <c r="M10" s="436" t="s">
        <v>29</v>
      </c>
      <c r="N10" s="437"/>
      <c r="O10" s="393" t="s">
        <v>34</v>
      </c>
      <c r="P10" s="393" t="s">
        <v>154</v>
      </c>
    </row>
    <row r="11" spans="1:40" ht="30" x14ac:dyDescent="0.2">
      <c r="B11" s="400"/>
      <c r="C11" s="111" t="s">
        <v>1</v>
      </c>
      <c r="D11" s="113" t="s">
        <v>2</v>
      </c>
      <c r="E11" s="113" t="s">
        <v>2</v>
      </c>
      <c r="F11" s="113" t="s">
        <v>3</v>
      </c>
      <c r="G11" s="113" t="s">
        <v>74</v>
      </c>
      <c r="H11" s="113" t="s">
        <v>4</v>
      </c>
      <c r="I11" s="113" t="s">
        <v>51</v>
      </c>
      <c r="J11" s="113" t="s">
        <v>142</v>
      </c>
      <c r="K11" s="113" t="s">
        <v>61</v>
      </c>
      <c r="L11" s="113" t="s">
        <v>6</v>
      </c>
      <c r="M11" s="115" t="s">
        <v>165</v>
      </c>
      <c r="N11" s="115" t="s">
        <v>7</v>
      </c>
      <c r="O11" s="394"/>
      <c r="P11" s="394"/>
    </row>
    <row r="12" spans="1:40" s="158" customFormat="1" ht="15" customHeight="1" x14ac:dyDescent="0.2">
      <c r="B12" s="208">
        <v>1</v>
      </c>
      <c r="C12" s="213">
        <v>2</v>
      </c>
      <c r="D12" s="213">
        <v>3</v>
      </c>
      <c r="E12" s="213">
        <v>4</v>
      </c>
      <c r="F12" s="213">
        <v>5</v>
      </c>
      <c r="G12" s="213">
        <v>6</v>
      </c>
      <c r="H12" s="226" t="s">
        <v>44</v>
      </c>
      <c r="I12" s="226" t="s">
        <v>45</v>
      </c>
      <c r="J12" s="226" t="s">
        <v>46</v>
      </c>
      <c r="K12" s="226" t="s">
        <v>47</v>
      </c>
      <c r="L12" s="226">
        <v>11</v>
      </c>
      <c r="M12" s="226">
        <v>12</v>
      </c>
      <c r="N12" s="226">
        <v>13</v>
      </c>
      <c r="O12" s="226">
        <v>14</v>
      </c>
      <c r="P12" s="226" t="s">
        <v>155</v>
      </c>
    </row>
    <row r="13" spans="1:40" ht="21" customHeight="1" x14ac:dyDescent="0.2">
      <c r="A13" s="192"/>
      <c r="B13" s="121" t="s">
        <v>37</v>
      </c>
      <c r="C13" s="170" t="s">
        <v>36</v>
      </c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</row>
    <row r="14" spans="1:40" s="127" customFormat="1" ht="19.5" customHeight="1" x14ac:dyDescent="0.2">
      <c r="A14" s="192"/>
      <c r="B14" s="218">
        <v>1</v>
      </c>
      <c r="C14" s="148" t="s">
        <v>99</v>
      </c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93"/>
      <c r="R14" s="108"/>
      <c r="S14" s="108"/>
      <c r="T14" s="192"/>
      <c r="V14" s="193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92"/>
    </row>
    <row r="15" spans="1:40" s="127" customFormat="1" x14ac:dyDescent="0.2">
      <c r="A15" s="192"/>
      <c r="B15" s="149" t="s">
        <v>55</v>
      </c>
      <c r="C15" s="151" t="s">
        <v>60</v>
      </c>
      <c r="D15" s="202" t="s">
        <v>90</v>
      </c>
      <c r="E15" s="203"/>
      <c r="F15" s="149"/>
      <c r="G15" s="149"/>
      <c r="H15" s="181"/>
      <c r="I15" s="182"/>
      <c r="J15" s="182"/>
      <c r="K15" s="183"/>
      <c r="L15" s="182"/>
      <c r="M15" s="182"/>
      <c r="N15" s="182"/>
      <c r="O15" s="182"/>
      <c r="P15" s="184"/>
      <c r="Q15" s="193"/>
      <c r="R15" s="108"/>
      <c r="S15" s="108"/>
      <c r="T15" s="192"/>
      <c r="V15" s="193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92"/>
    </row>
    <row r="16" spans="1:40" s="127" customFormat="1" x14ac:dyDescent="0.2">
      <c r="A16" s="192"/>
      <c r="B16" s="149" t="s">
        <v>56</v>
      </c>
      <c r="C16" s="151" t="s">
        <v>60</v>
      </c>
      <c r="D16" s="202" t="s">
        <v>91</v>
      </c>
      <c r="E16" s="203"/>
      <c r="F16" s="149"/>
      <c r="G16" s="149"/>
      <c r="H16" s="181"/>
      <c r="I16" s="182"/>
      <c r="J16" s="182"/>
      <c r="K16" s="183"/>
      <c r="L16" s="182"/>
      <c r="M16" s="182"/>
      <c r="N16" s="182"/>
      <c r="O16" s="182"/>
      <c r="P16" s="184"/>
      <c r="Q16" s="193"/>
      <c r="R16" s="108"/>
      <c r="S16" s="108"/>
      <c r="T16" s="192"/>
      <c r="V16" s="193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92"/>
    </row>
    <row r="17" spans="1:40" s="127" customFormat="1" ht="6.75" customHeight="1" x14ac:dyDescent="0.2">
      <c r="A17" s="192"/>
      <c r="B17" s="149"/>
      <c r="C17" s="151"/>
      <c r="D17" s="202"/>
      <c r="E17" s="203"/>
      <c r="F17" s="149"/>
      <c r="G17" s="149"/>
      <c r="H17" s="181"/>
      <c r="I17" s="182"/>
      <c r="J17" s="182"/>
      <c r="K17" s="183"/>
      <c r="L17" s="182"/>
      <c r="M17" s="182"/>
      <c r="N17" s="182"/>
      <c r="O17" s="182"/>
      <c r="P17" s="184"/>
      <c r="Q17" s="193"/>
      <c r="R17" s="108"/>
      <c r="S17" s="108"/>
      <c r="T17" s="192"/>
      <c r="V17" s="193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92"/>
    </row>
    <row r="18" spans="1:40" s="127" customFormat="1" x14ac:dyDescent="0.2">
      <c r="A18" s="192"/>
      <c r="B18" s="149">
        <v>2</v>
      </c>
      <c r="C18" s="151" t="s">
        <v>59</v>
      </c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93"/>
      <c r="R18" s="108"/>
      <c r="S18" s="108"/>
      <c r="T18" s="192"/>
      <c r="V18" s="193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92"/>
    </row>
    <row r="19" spans="1:40" s="127" customFormat="1" x14ac:dyDescent="0.2">
      <c r="A19" s="192"/>
      <c r="B19" s="149" t="s">
        <v>55</v>
      </c>
      <c r="C19" s="151" t="s">
        <v>60</v>
      </c>
      <c r="D19" s="94" t="s">
        <v>100</v>
      </c>
      <c r="E19" s="203"/>
      <c r="F19" s="149"/>
      <c r="G19" s="149"/>
      <c r="H19" s="181"/>
      <c r="I19" s="182"/>
      <c r="J19" s="182"/>
      <c r="K19" s="183"/>
      <c r="L19" s="182"/>
      <c r="M19" s="182"/>
      <c r="N19" s="182"/>
      <c r="O19" s="182"/>
      <c r="P19" s="184"/>
      <c r="Q19" s="193"/>
      <c r="R19" s="108"/>
      <c r="S19" s="108"/>
      <c r="T19" s="192"/>
      <c r="V19" s="193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92"/>
    </row>
    <row r="20" spans="1:40" s="127" customFormat="1" x14ac:dyDescent="0.2">
      <c r="A20" s="192"/>
      <c r="B20" s="149" t="s">
        <v>56</v>
      </c>
      <c r="C20" s="151" t="s">
        <v>60</v>
      </c>
      <c r="D20" s="94" t="s">
        <v>101</v>
      </c>
      <c r="E20" s="203"/>
      <c r="F20" s="149"/>
      <c r="G20" s="149"/>
      <c r="H20" s="181"/>
      <c r="I20" s="182"/>
      <c r="J20" s="182"/>
      <c r="K20" s="183"/>
      <c r="L20" s="182"/>
      <c r="M20" s="182"/>
      <c r="N20" s="182"/>
      <c r="O20" s="182"/>
      <c r="P20" s="184"/>
      <c r="Q20" s="193"/>
      <c r="R20" s="108"/>
      <c r="S20" s="108"/>
      <c r="T20" s="192"/>
      <c r="V20" s="193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92"/>
    </row>
    <row r="21" spans="1:40" s="127" customFormat="1" x14ac:dyDescent="0.2">
      <c r="A21" s="192"/>
      <c r="B21" s="149" t="s">
        <v>85</v>
      </c>
      <c r="C21" s="151"/>
      <c r="D21" s="94"/>
      <c r="E21" s="203"/>
      <c r="F21" s="149"/>
      <c r="G21" s="149"/>
      <c r="H21" s="181"/>
      <c r="I21" s="182"/>
      <c r="J21" s="182"/>
      <c r="K21" s="183"/>
      <c r="L21" s="182"/>
      <c r="M21" s="182"/>
      <c r="N21" s="182"/>
      <c r="O21" s="182"/>
      <c r="P21" s="184"/>
      <c r="Q21" s="193"/>
      <c r="R21" s="108"/>
      <c r="S21" s="108"/>
      <c r="T21" s="192"/>
      <c r="V21" s="193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92"/>
    </row>
    <row r="22" spans="1:40" s="127" customFormat="1" x14ac:dyDescent="0.2">
      <c r="A22" s="192"/>
      <c r="B22" s="139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93"/>
      <c r="R22" s="108"/>
      <c r="S22" s="108"/>
      <c r="T22" s="192"/>
      <c r="V22" s="193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92"/>
    </row>
    <row r="23" spans="1:40" ht="21.75" customHeight="1" x14ac:dyDescent="0.2">
      <c r="A23" s="192"/>
      <c r="B23" s="130" t="s">
        <v>38</v>
      </c>
      <c r="C23" s="444" t="s">
        <v>87</v>
      </c>
      <c r="D23" s="445"/>
      <c r="E23" s="460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</row>
    <row r="24" spans="1:40" ht="22.5" customHeight="1" x14ac:dyDescent="0.2">
      <c r="A24" s="192"/>
      <c r="B24" s="218">
        <v>1</v>
      </c>
      <c r="C24" s="148" t="s">
        <v>99</v>
      </c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</row>
    <row r="25" spans="1:40" x14ac:dyDescent="0.2">
      <c r="A25" s="192"/>
      <c r="B25" s="149" t="s">
        <v>55</v>
      </c>
      <c r="C25" s="151" t="s">
        <v>60</v>
      </c>
      <c r="D25" s="202" t="s">
        <v>90</v>
      </c>
      <c r="E25" s="187"/>
      <c r="F25" s="149"/>
      <c r="G25" s="149"/>
      <c r="H25" s="181"/>
      <c r="I25" s="149"/>
      <c r="J25" s="149"/>
      <c r="K25" s="149"/>
      <c r="L25" s="149"/>
      <c r="M25" s="149"/>
      <c r="N25" s="149"/>
      <c r="O25" s="149"/>
      <c r="P25" s="184"/>
    </row>
    <row r="26" spans="1:40" x14ac:dyDescent="0.2">
      <c r="B26" s="149" t="s">
        <v>56</v>
      </c>
      <c r="C26" s="151" t="s">
        <v>60</v>
      </c>
      <c r="D26" s="202" t="s">
        <v>91</v>
      </c>
      <c r="E26" s="187"/>
      <c r="F26" s="149"/>
      <c r="G26" s="149"/>
      <c r="H26" s="181"/>
      <c r="I26" s="149"/>
      <c r="J26" s="149"/>
      <c r="K26" s="149"/>
      <c r="L26" s="149"/>
      <c r="M26" s="149"/>
      <c r="N26" s="149"/>
      <c r="O26" s="149"/>
      <c r="P26" s="184"/>
    </row>
    <row r="27" spans="1:40" ht="6.75" customHeight="1" x14ac:dyDescent="0.2">
      <c r="B27" s="149"/>
      <c r="C27" s="151"/>
      <c r="D27" s="202"/>
      <c r="E27" s="187"/>
      <c r="F27" s="149"/>
      <c r="G27" s="149"/>
      <c r="H27" s="181"/>
      <c r="I27" s="149"/>
      <c r="J27" s="149"/>
      <c r="K27" s="149"/>
      <c r="L27" s="149"/>
      <c r="M27" s="149"/>
      <c r="N27" s="149"/>
      <c r="O27" s="149"/>
      <c r="P27" s="184"/>
    </row>
    <row r="28" spans="1:40" x14ac:dyDescent="0.2">
      <c r="B28" s="149">
        <v>2</v>
      </c>
      <c r="C28" s="151" t="s">
        <v>104</v>
      </c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</row>
    <row r="29" spans="1:40" x14ac:dyDescent="0.2">
      <c r="B29" s="149" t="s">
        <v>55</v>
      </c>
      <c r="C29" s="151" t="s">
        <v>60</v>
      </c>
      <c r="D29" s="94" t="s">
        <v>100</v>
      </c>
      <c r="E29" s="187"/>
      <c r="F29" s="149"/>
      <c r="G29" s="149"/>
      <c r="H29" s="181"/>
      <c r="I29" s="149"/>
      <c r="J29" s="149"/>
      <c r="K29" s="149"/>
      <c r="L29" s="149"/>
      <c r="M29" s="149"/>
      <c r="N29" s="149"/>
      <c r="O29" s="149"/>
      <c r="P29" s="184"/>
    </row>
    <row r="30" spans="1:40" x14ac:dyDescent="0.2">
      <c r="B30" s="149" t="s">
        <v>56</v>
      </c>
      <c r="C30" s="151" t="s">
        <v>60</v>
      </c>
      <c r="D30" s="94" t="s">
        <v>101</v>
      </c>
      <c r="E30" s="187"/>
      <c r="F30" s="149"/>
      <c r="G30" s="149"/>
      <c r="H30" s="181"/>
      <c r="I30" s="149"/>
      <c r="J30" s="149"/>
      <c r="K30" s="149"/>
      <c r="L30" s="149"/>
      <c r="M30" s="149"/>
      <c r="N30" s="149"/>
      <c r="O30" s="149"/>
      <c r="P30" s="184"/>
    </row>
    <row r="31" spans="1:40" x14ac:dyDescent="0.2">
      <c r="B31" s="149" t="s">
        <v>85</v>
      </c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</row>
    <row r="32" spans="1:40" x14ac:dyDescent="0.2">
      <c r="B32" s="149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</row>
    <row r="33" spans="2:17" s="152" customFormat="1" x14ac:dyDescent="0.25">
      <c r="B33" s="149" t="s">
        <v>8</v>
      </c>
      <c r="C33" s="149" t="s">
        <v>9</v>
      </c>
      <c r="D33" s="149" t="s">
        <v>10</v>
      </c>
      <c r="E33" s="149" t="s">
        <v>11</v>
      </c>
      <c r="F33" s="149" t="s">
        <v>12</v>
      </c>
      <c r="G33" s="149" t="s">
        <v>13</v>
      </c>
      <c r="H33" s="149" t="s">
        <v>14</v>
      </c>
      <c r="I33" s="150" t="s">
        <v>15</v>
      </c>
      <c r="J33" s="149" t="s">
        <v>16</v>
      </c>
      <c r="K33" s="149" t="s">
        <v>17</v>
      </c>
      <c r="L33" s="149" t="s">
        <v>18</v>
      </c>
      <c r="M33" s="149" t="s">
        <v>19</v>
      </c>
      <c r="N33" s="149" t="s">
        <v>31</v>
      </c>
      <c r="O33" s="149" t="s">
        <v>32</v>
      </c>
      <c r="P33" s="149" t="s">
        <v>150</v>
      </c>
      <c r="Q33" s="227"/>
    </row>
    <row r="34" spans="2:17" s="152" customFormat="1" x14ac:dyDescent="0.25">
      <c r="B34" s="185"/>
      <c r="C34" s="185"/>
      <c r="D34" s="185"/>
      <c r="E34" s="185"/>
      <c r="F34" s="185"/>
      <c r="G34" s="185"/>
      <c r="H34" s="185"/>
      <c r="I34" s="219"/>
      <c r="J34" s="219"/>
      <c r="K34" s="185"/>
      <c r="L34" s="185"/>
      <c r="M34" s="185"/>
      <c r="N34" s="185"/>
      <c r="O34" s="185"/>
      <c r="P34" s="185"/>
      <c r="Q34" s="220"/>
    </row>
    <row r="35" spans="2:17" s="152" customFormat="1" ht="19.5" customHeight="1" x14ac:dyDescent="0.25">
      <c r="B35" s="454"/>
      <c r="C35" s="436" t="s">
        <v>151</v>
      </c>
      <c r="D35" s="457"/>
      <c r="E35" s="437"/>
      <c r="F35" s="454"/>
      <c r="G35" s="454"/>
      <c r="H35" s="454"/>
      <c r="I35" s="452"/>
      <c r="J35" s="452"/>
      <c r="K35" s="454"/>
      <c r="L35" s="454"/>
      <c r="M35" s="454"/>
      <c r="N35" s="454"/>
      <c r="O35" s="454"/>
      <c r="P35" s="221" t="s">
        <v>157</v>
      </c>
      <c r="Q35" s="220"/>
    </row>
    <row r="36" spans="2:17" ht="18" customHeight="1" x14ac:dyDescent="0.2">
      <c r="B36" s="455"/>
      <c r="C36" s="438"/>
      <c r="D36" s="458"/>
      <c r="E36" s="439"/>
      <c r="F36" s="455"/>
      <c r="G36" s="455"/>
      <c r="H36" s="455"/>
      <c r="I36" s="453"/>
      <c r="J36" s="453"/>
      <c r="K36" s="455"/>
      <c r="L36" s="455"/>
      <c r="M36" s="455"/>
      <c r="N36" s="455"/>
      <c r="O36" s="455"/>
      <c r="P36" s="222" t="s">
        <v>76</v>
      </c>
    </row>
    <row r="39" spans="2:17" ht="27.75" customHeight="1" x14ac:dyDescent="0.2">
      <c r="B39" s="390"/>
      <c r="C39" s="390"/>
      <c r="D39" s="390"/>
      <c r="J39" s="223"/>
      <c r="K39" s="223"/>
      <c r="L39" s="223"/>
      <c r="M39" s="456" t="s">
        <v>166</v>
      </c>
      <c r="N39" s="456"/>
      <c r="O39" s="456"/>
      <c r="P39" s="456"/>
    </row>
    <row r="40" spans="2:17" x14ac:dyDescent="0.2">
      <c r="C40" s="107"/>
      <c r="D40" s="107"/>
      <c r="J40" s="223"/>
      <c r="K40" s="223"/>
      <c r="L40" s="223"/>
      <c r="M40" s="224"/>
      <c r="N40" s="224"/>
      <c r="O40" s="224"/>
      <c r="P40" s="224"/>
    </row>
    <row r="41" spans="2:17" x14ac:dyDescent="0.2">
      <c r="B41" s="390"/>
      <c r="C41" s="390"/>
      <c r="D41" s="390"/>
    </row>
    <row r="42" spans="2:17" x14ac:dyDescent="0.2">
      <c r="P42" s="107"/>
    </row>
    <row r="43" spans="2:17" x14ac:dyDescent="0.2">
      <c r="P43" s="107"/>
    </row>
    <row r="44" spans="2:17" x14ac:dyDescent="0.2">
      <c r="M44" s="390" t="s">
        <v>2</v>
      </c>
      <c r="N44" s="390"/>
      <c r="O44" s="390"/>
      <c r="P44" s="390"/>
    </row>
    <row r="45" spans="2:17" x14ac:dyDescent="0.2">
      <c r="M45" s="390" t="s">
        <v>22</v>
      </c>
      <c r="N45" s="390"/>
      <c r="O45" s="390"/>
      <c r="P45" s="390"/>
    </row>
    <row r="46" spans="2:17" x14ac:dyDescent="0.2">
      <c r="D46" s="107"/>
      <c r="E46" s="390"/>
      <c r="F46" s="390"/>
      <c r="G46" s="390"/>
      <c r="H46" s="390"/>
      <c r="I46" s="390"/>
      <c r="J46" s="390"/>
      <c r="K46" s="390"/>
      <c r="L46" s="390"/>
      <c r="M46" s="107"/>
      <c r="N46" s="107"/>
      <c r="O46" s="107"/>
    </row>
    <row r="47" spans="2:17" x14ac:dyDescent="0.2">
      <c r="D47" s="107"/>
      <c r="E47" s="390"/>
      <c r="F47" s="390"/>
      <c r="G47" s="390"/>
      <c r="H47" s="390"/>
      <c r="I47" s="390"/>
      <c r="J47" s="390"/>
      <c r="K47" s="390"/>
      <c r="L47" s="390"/>
      <c r="M47" s="107"/>
      <c r="N47" s="107"/>
      <c r="O47" s="107"/>
    </row>
    <row r="85" spans="1:21" ht="15" x14ac:dyDescent="0.2">
      <c r="B85" s="397"/>
      <c r="C85" s="397"/>
      <c r="D85" s="397"/>
      <c r="E85" s="397"/>
      <c r="F85" s="397"/>
      <c r="G85" s="397"/>
      <c r="H85" s="397"/>
      <c r="I85" s="397"/>
      <c r="J85" s="397"/>
      <c r="K85" s="397"/>
      <c r="L85" s="397"/>
      <c r="M85" s="397"/>
      <c r="N85" s="397"/>
      <c r="O85" s="397"/>
      <c r="P85" s="397"/>
      <c r="Q85" s="397"/>
      <c r="R85" s="397"/>
      <c r="S85" s="397"/>
      <c r="T85" s="397"/>
      <c r="U85" s="397"/>
    </row>
    <row r="86" spans="1:21" ht="15" x14ac:dyDescent="0.2">
      <c r="B86" s="397" t="s">
        <v>23</v>
      </c>
      <c r="C86" s="397"/>
      <c r="D86" s="397"/>
      <c r="E86" s="397"/>
      <c r="F86" s="397"/>
      <c r="G86" s="397"/>
      <c r="H86" s="397"/>
      <c r="I86" s="397"/>
      <c r="J86" s="397"/>
      <c r="K86" s="397"/>
      <c r="L86" s="397"/>
      <c r="M86" s="397"/>
      <c r="N86" s="397"/>
      <c r="O86" s="397"/>
      <c r="P86" s="397"/>
      <c r="Q86" s="397"/>
      <c r="R86" s="397"/>
      <c r="S86" s="397"/>
      <c r="T86" s="397"/>
      <c r="U86" s="397"/>
    </row>
    <row r="87" spans="1:21" ht="15" x14ac:dyDescent="0.2">
      <c r="B87" s="397" t="s">
        <v>70</v>
      </c>
      <c r="C87" s="397"/>
      <c r="D87" s="397"/>
      <c r="E87" s="397"/>
      <c r="F87" s="397"/>
      <c r="G87" s="397"/>
      <c r="H87" s="397"/>
      <c r="I87" s="397"/>
      <c r="J87" s="397"/>
      <c r="K87" s="397"/>
      <c r="L87" s="397"/>
      <c r="M87" s="397"/>
      <c r="N87" s="397"/>
      <c r="O87" s="397"/>
      <c r="P87" s="397"/>
      <c r="Q87" s="397"/>
      <c r="R87" s="397"/>
      <c r="S87" s="397"/>
      <c r="T87" s="397"/>
      <c r="U87" s="397"/>
    </row>
    <row r="88" spans="1:21" ht="15" x14ac:dyDescent="0.2">
      <c r="B88" s="397" t="s">
        <v>109</v>
      </c>
      <c r="C88" s="397"/>
      <c r="D88" s="397"/>
      <c r="E88" s="397"/>
      <c r="F88" s="397"/>
      <c r="G88" s="397"/>
      <c r="H88" s="397"/>
      <c r="I88" s="397"/>
      <c r="J88" s="397"/>
      <c r="K88" s="397"/>
      <c r="L88" s="397"/>
      <c r="M88" s="397"/>
      <c r="N88" s="397"/>
      <c r="O88" s="397"/>
      <c r="P88" s="397"/>
    </row>
    <row r="90" spans="1:21" ht="25.5" customHeight="1" x14ac:dyDescent="0.2">
      <c r="B90" s="399" t="s">
        <v>27</v>
      </c>
      <c r="C90" s="391" t="s">
        <v>26</v>
      </c>
      <c r="D90" s="392"/>
      <c r="E90" s="401" t="s">
        <v>110</v>
      </c>
      <c r="F90" s="401"/>
      <c r="G90" s="401"/>
      <c r="H90" s="392"/>
      <c r="I90" s="391" t="s">
        <v>0</v>
      </c>
      <c r="J90" s="401"/>
      <c r="K90" s="401"/>
      <c r="L90" s="401"/>
      <c r="M90" s="166"/>
      <c r="N90" s="166"/>
      <c r="O90" s="166"/>
      <c r="P90" s="393" t="s">
        <v>111</v>
      </c>
      <c r="S90" s="404"/>
      <c r="T90" s="437"/>
      <c r="U90" s="393"/>
    </row>
    <row r="91" spans="1:21" ht="30" x14ac:dyDescent="0.2">
      <c r="B91" s="400"/>
      <c r="C91" s="112" t="s">
        <v>1</v>
      </c>
      <c r="D91" s="113" t="s">
        <v>2</v>
      </c>
      <c r="E91" s="113" t="s">
        <v>2</v>
      </c>
      <c r="F91" s="114" t="s">
        <v>3</v>
      </c>
      <c r="G91" s="114" t="s">
        <v>74</v>
      </c>
      <c r="H91" s="114" t="s">
        <v>4</v>
      </c>
      <c r="I91" s="114" t="s">
        <v>5</v>
      </c>
      <c r="J91" s="114"/>
      <c r="K91" s="114" t="s">
        <v>61</v>
      </c>
      <c r="L91" s="113" t="s">
        <v>6</v>
      </c>
      <c r="M91" s="113"/>
      <c r="N91" s="113"/>
      <c r="O91" s="113"/>
      <c r="P91" s="394"/>
      <c r="S91" s="404"/>
      <c r="T91" s="439"/>
      <c r="U91" s="394"/>
    </row>
    <row r="92" spans="1:21" x14ac:dyDescent="0.2">
      <c r="B92" s="225"/>
      <c r="C92" s="197">
        <v>2</v>
      </c>
      <c r="D92" s="117">
        <v>3</v>
      </c>
      <c r="E92" s="117">
        <v>4</v>
      </c>
      <c r="F92" s="197">
        <v>5</v>
      </c>
      <c r="G92" s="197">
        <v>6</v>
      </c>
      <c r="H92" s="197">
        <v>7</v>
      </c>
      <c r="I92" s="197">
        <v>8</v>
      </c>
      <c r="J92" s="197"/>
      <c r="K92" s="197">
        <v>9</v>
      </c>
      <c r="L92" s="197">
        <v>10</v>
      </c>
      <c r="M92" s="197"/>
      <c r="N92" s="197"/>
      <c r="O92" s="197"/>
      <c r="P92" s="117">
        <v>14</v>
      </c>
      <c r="Q92" s="228">
        <v>12</v>
      </c>
      <c r="R92" s="107">
        <v>13</v>
      </c>
      <c r="S92" s="233"/>
      <c r="T92" s="197"/>
      <c r="U92" s="117"/>
    </row>
    <row r="93" spans="1:21" ht="18" customHeight="1" x14ac:dyDescent="0.2">
      <c r="B93" s="168" t="s">
        <v>37</v>
      </c>
      <c r="C93" s="462" t="s">
        <v>36</v>
      </c>
      <c r="D93" s="462"/>
      <c r="E93" s="462"/>
      <c r="F93" s="462"/>
      <c r="G93" s="462"/>
      <c r="H93" s="462"/>
      <c r="I93" s="462"/>
      <c r="J93" s="462"/>
      <c r="K93" s="462"/>
      <c r="L93" s="462"/>
      <c r="M93" s="462"/>
      <c r="N93" s="462"/>
      <c r="O93" s="462"/>
      <c r="P93" s="462"/>
      <c r="Q93" s="193"/>
      <c r="T93" s="192"/>
      <c r="U93" s="127"/>
    </row>
    <row r="94" spans="1:21" s="145" customFormat="1" ht="18" customHeight="1" x14ac:dyDescent="0.2">
      <c r="A94" s="108"/>
      <c r="B94" s="175">
        <v>1</v>
      </c>
      <c r="C94" s="174" t="s">
        <v>60</v>
      </c>
      <c r="D94" s="174" t="s">
        <v>68</v>
      </c>
      <c r="E94" s="174"/>
      <c r="F94" s="175"/>
      <c r="G94" s="175"/>
      <c r="H94" s="173"/>
      <c r="I94" s="176"/>
      <c r="J94" s="176"/>
      <c r="K94" s="177"/>
      <c r="L94" s="176"/>
      <c r="M94" s="176"/>
      <c r="N94" s="176"/>
      <c r="O94" s="176"/>
      <c r="P94" s="178"/>
      <c r="Q94" s="229"/>
      <c r="R94" s="108"/>
      <c r="S94" s="108"/>
      <c r="T94" s="231"/>
      <c r="U94" s="139"/>
    </row>
    <row r="95" spans="1:21" ht="18" customHeight="1" x14ac:dyDescent="0.2">
      <c r="B95" s="149">
        <v>2</v>
      </c>
      <c r="C95" s="151" t="s">
        <v>60</v>
      </c>
      <c r="D95" s="151" t="s">
        <v>112</v>
      </c>
      <c r="E95" s="151"/>
      <c r="F95" s="149"/>
      <c r="G95" s="149"/>
      <c r="H95" s="181"/>
      <c r="I95" s="182"/>
      <c r="J95" s="182"/>
      <c r="K95" s="183"/>
      <c r="L95" s="182"/>
      <c r="M95" s="182"/>
      <c r="N95" s="182"/>
      <c r="O95" s="182"/>
      <c r="P95" s="184"/>
      <c r="Q95" s="193"/>
      <c r="T95" s="192"/>
      <c r="U95" s="127"/>
    </row>
    <row r="96" spans="1:21" ht="18" customHeight="1" x14ac:dyDescent="0.2">
      <c r="B96" s="149">
        <v>3</v>
      </c>
      <c r="C96" s="151" t="s">
        <v>60</v>
      </c>
      <c r="D96" s="151" t="s">
        <v>69</v>
      </c>
      <c r="E96" s="151"/>
      <c r="F96" s="149"/>
      <c r="G96" s="149"/>
      <c r="H96" s="181"/>
      <c r="I96" s="182"/>
      <c r="J96" s="182"/>
      <c r="K96" s="183"/>
      <c r="L96" s="182"/>
      <c r="M96" s="182"/>
      <c r="N96" s="182"/>
      <c r="O96" s="182"/>
      <c r="P96" s="184"/>
      <c r="Q96" s="193"/>
      <c r="T96" s="192"/>
      <c r="U96" s="127"/>
    </row>
    <row r="97" spans="2:21" ht="18" customHeight="1" x14ac:dyDescent="0.2">
      <c r="B97" s="149" t="s">
        <v>85</v>
      </c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93"/>
      <c r="T97" s="192"/>
      <c r="U97" s="127"/>
    </row>
    <row r="98" spans="2:21" ht="18" customHeight="1" x14ac:dyDescent="0.2">
      <c r="B98" s="168" t="s">
        <v>38</v>
      </c>
      <c r="C98" s="461" t="s">
        <v>87</v>
      </c>
      <c r="D98" s="461"/>
      <c r="E98" s="461"/>
      <c r="F98" s="461"/>
      <c r="G98" s="461"/>
      <c r="H98" s="461"/>
      <c r="I98" s="461"/>
      <c r="J98" s="461"/>
      <c r="K98" s="461"/>
      <c r="L98" s="461"/>
      <c r="M98" s="461"/>
      <c r="N98" s="461"/>
      <c r="O98" s="461"/>
      <c r="P98" s="461"/>
      <c r="Q98" s="193"/>
      <c r="T98" s="192"/>
      <c r="U98" s="127"/>
    </row>
    <row r="99" spans="2:21" ht="18" customHeight="1" x14ac:dyDescent="0.2">
      <c r="B99" s="149">
        <v>1</v>
      </c>
      <c r="C99" s="151" t="s">
        <v>60</v>
      </c>
      <c r="D99" s="151" t="s">
        <v>68</v>
      </c>
      <c r="E99" s="151"/>
      <c r="F99" s="149"/>
      <c r="G99" s="149"/>
      <c r="H99" s="181"/>
      <c r="I99" s="149"/>
      <c r="J99" s="149"/>
      <c r="K99" s="149"/>
      <c r="L99" s="149"/>
      <c r="M99" s="149"/>
      <c r="N99" s="149"/>
      <c r="O99" s="149"/>
      <c r="P99" s="184"/>
      <c r="Q99" s="193"/>
      <c r="T99" s="192"/>
      <c r="U99" s="127"/>
    </row>
    <row r="100" spans="2:21" ht="18" customHeight="1" x14ac:dyDescent="0.2">
      <c r="B100" s="149">
        <v>2</v>
      </c>
      <c r="C100" s="151" t="s">
        <v>60</v>
      </c>
      <c r="D100" s="151" t="s">
        <v>112</v>
      </c>
      <c r="E100" s="187"/>
      <c r="F100" s="149"/>
      <c r="G100" s="149"/>
      <c r="H100" s="181"/>
      <c r="I100" s="149"/>
      <c r="J100" s="149"/>
      <c r="K100" s="149"/>
      <c r="L100" s="149"/>
      <c r="M100" s="149"/>
      <c r="N100" s="149"/>
      <c r="O100" s="149"/>
      <c r="P100" s="184"/>
      <c r="Q100" s="193"/>
      <c r="T100" s="192"/>
      <c r="U100" s="127"/>
    </row>
    <row r="101" spans="2:21" ht="18" customHeight="1" x14ac:dyDescent="0.2">
      <c r="B101" s="149">
        <v>3</v>
      </c>
      <c r="C101" s="151" t="s">
        <v>60</v>
      </c>
      <c r="D101" s="151" t="s">
        <v>69</v>
      </c>
      <c r="E101" s="187"/>
      <c r="F101" s="149"/>
      <c r="G101" s="149"/>
      <c r="H101" s="181"/>
      <c r="I101" s="149"/>
      <c r="J101" s="149"/>
      <c r="K101" s="149"/>
      <c r="L101" s="149"/>
      <c r="M101" s="149"/>
      <c r="N101" s="149"/>
      <c r="O101" s="149"/>
      <c r="P101" s="184"/>
      <c r="Q101" s="193"/>
      <c r="T101" s="192"/>
      <c r="U101" s="127"/>
    </row>
    <row r="102" spans="2:21" ht="18" customHeight="1" x14ac:dyDescent="0.2">
      <c r="B102" s="185" t="s">
        <v>85</v>
      </c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93"/>
      <c r="T102" s="192"/>
      <c r="U102" s="127"/>
    </row>
    <row r="103" spans="2:21" ht="15" customHeight="1" x14ac:dyDescent="0.2">
      <c r="B103" s="167"/>
      <c r="C103" s="391" t="s">
        <v>113</v>
      </c>
      <c r="D103" s="392"/>
      <c r="E103" s="131"/>
      <c r="F103" s="115"/>
      <c r="G103" s="115"/>
      <c r="H103" s="167"/>
      <c r="I103" s="167"/>
      <c r="J103" s="167"/>
      <c r="K103" s="167"/>
      <c r="L103" s="167"/>
      <c r="M103" s="167"/>
      <c r="N103" s="167"/>
      <c r="O103" s="167"/>
      <c r="P103" s="163"/>
      <c r="Q103" s="230"/>
      <c r="T103" s="232"/>
      <c r="U103" s="207"/>
    </row>
    <row r="105" spans="2:21" x14ac:dyDescent="0.2">
      <c r="B105" s="390"/>
      <c r="C105" s="390"/>
      <c r="D105" s="390"/>
      <c r="E105" s="390"/>
      <c r="F105" s="390"/>
      <c r="G105" s="390"/>
      <c r="H105" s="390"/>
      <c r="I105" s="390"/>
      <c r="J105" s="390"/>
      <c r="K105" s="390"/>
      <c r="L105" s="390"/>
      <c r="M105" s="107"/>
      <c r="N105" s="107"/>
      <c r="O105" s="107"/>
      <c r="S105" s="390"/>
      <c r="T105" s="390"/>
      <c r="U105" s="390"/>
    </row>
    <row r="106" spans="2:21" ht="15" customHeight="1" x14ac:dyDescent="0.2">
      <c r="L106" s="107" t="s">
        <v>35</v>
      </c>
      <c r="M106" s="107"/>
      <c r="N106" s="107"/>
      <c r="O106" s="107"/>
      <c r="P106" s="107"/>
      <c r="Q106" s="107"/>
      <c r="R106" s="107"/>
      <c r="S106" s="107"/>
    </row>
    <row r="107" spans="2:21" x14ac:dyDescent="0.2">
      <c r="R107" s="107"/>
      <c r="S107" s="107"/>
      <c r="T107" s="107"/>
      <c r="U107" s="107"/>
    </row>
    <row r="109" spans="2:21" ht="15" customHeight="1" x14ac:dyDescent="0.2">
      <c r="D109" s="107"/>
      <c r="E109" s="390"/>
      <c r="F109" s="390"/>
      <c r="G109" s="390"/>
      <c r="H109" s="390"/>
      <c r="I109" s="390"/>
      <c r="J109" s="390"/>
      <c r="K109" s="390"/>
      <c r="L109" s="390"/>
      <c r="M109" s="107"/>
      <c r="N109" s="107"/>
      <c r="O109" s="107"/>
    </row>
    <row r="110" spans="2:21" ht="15" customHeight="1" x14ac:dyDescent="0.2">
      <c r="D110" s="107"/>
      <c r="P110" s="390"/>
      <c r="Q110" s="390"/>
      <c r="R110" s="390"/>
      <c r="S110" s="390"/>
      <c r="T110" s="390"/>
      <c r="U110" s="390"/>
    </row>
    <row r="112" spans="2:21" ht="15" customHeight="1" x14ac:dyDescent="0.2">
      <c r="L112" s="107" t="s">
        <v>2</v>
      </c>
      <c r="M112" s="107"/>
      <c r="N112" s="107"/>
      <c r="O112" s="107"/>
    </row>
    <row r="113" spans="12:15" ht="15" customHeight="1" x14ac:dyDescent="0.2">
      <c r="L113" s="107" t="s">
        <v>114</v>
      </c>
      <c r="M113" s="107"/>
      <c r="N113" s="107"/>
      <c r="O113" s="107"/>
    </row>
  </sheetData>
  <mergeCells count="51">
    <mergeCell ref="C103:D103"/>
    <mergeCell ref="B10:B11"/>
    <mergeCell ref="P90:P91"/>
    <mergeCell ref="B85:U85"/>
    <mergeCell ref="B86:U86"/>
    <mergeCell ref="B39:D39"/>
    <mergeCell ref="B41:D41"/>
    <mergeCell ref="E46:L46"/>
    <mergeCell ref="E47:L47"/>
    <mergeCell ref="S90:S91"/>
    <mergeCell ref="B88:P88"/>
    <mergeCell ref="C98:P98"/>
    <mergeCell ref="C93:P93"/>
    <mergeCell ref="B87:U87"/>
    <mergeCell ref="T90:T91"/>
    <mergeCell ref="U90:U91"/>
    <mergeCell ref="P110:U110"/>
    <mergeCell ref="B105:D105"/>
    <mergeCell ref="E105:L105"/>
    <mergeCell ref="S105:U105"/>
    <mergeCell ref="E109:L109"/>
    <mergeCell ref="B90:B91"/>
    <mergeCell ref="C90:D90"/>
    <mergeCell ref="E90:H90"/>
    <mergeCell ref="I90:L90"/>
    <mergeCell ref="B6:P6"/>
    <mergeCell ref="B7:P7"/>
    <mergeCell ref="B8:P8"/>
    <mergeCell ref="B9:L9"/>
    <mergeCell ref="C10:D10"/>
    <mergeCell ref="E10:H10"/>
    <mergeCell ref="I10:L10"/>
    <mergeCell ref="P10:P11"/>
    <mergeCell ref="M10:N10"/>
    <mergeCell ref="O10:O11"/>
    <mergeCell ref="C23:E23"/>
    <mergeCell ref="B35:B36"/>
    <mergeCell ref="C35:E36"/>
    <mergeCell ref="F35:F36"/>
    <mergeCell ref="G35:G36"/>
    <mergeCell ref="H35:H36"/>
    <mergeCell ref="I35:I36"/>
    <mergeCell ref="J35:J36"/>
    <mergeCell ref="K35:K36"/>
    <mergeCell ref="L35:L36"/>
    <mergeCell ref="M45:P45"/>
    <mergeCell ref="M35:M36"/>
    <mergeCell ref="N35:N36"/>
    <mergeCell ref="O35:O36"/>
    <mergeCell ref="M39:P39"/>
    <mergeCell ref="M44:P44"/>
  </mergeCells>
  <printOptions horizontalCentered="1"/>
  <pageMargins left="1.0629921259842521" right="0" top="0.23622047244094491" bottom="0.74803149606299213" header="0.31496062992125984" footer="0.31496062992125984"/>
  <pageSetup paperSize="5" scale="75" fitToHeight="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5:BE100"/>
  <sheetViews>
    <sheetView zoomScale="90" zoomScaleNormal="90" workbookViewId="0">
      <selection activeCell="C28" sqref="A28:K29"/>
    </sheetView>
  </sheetViews>
  <sheetFormatPr defaultColWidth="9.140625" defaultRowHeight="14.25" x14ac:dyDescent="0.2"/>
  <cols>
    <col min="1" max="1" width="5.140625" style="107" customWidth="1"/>
    <col min="2" max="2" width="28" style="108" bestFit="1" customWidth="1"/>
    <col min="3" max="3" width="27.7109375" style="108" bestFit="1" customWidth="1"/>
    <col min="4" max="7" width="11.28515625" style="108" customWidth="1"/>
    <col min="8" max="11" width="12.85546875" style="108" customWidth="1"/>
    <col min="12" max="12" width="12.5703125" style="108" customWidth="1"/>
    <col min="13" max="13" width="13.140625" style="108" bestFit="1" customWidth="1"/>
    <col min="14" max="14" width="12.5703125" style="108" customWidth="1"/>
    <col min="15" max="15" width="14.5703125" style="108" customWidth="1"/>
    <col min="16" max="20" width="0" style="108" hidden="1" customWidth="1"/>
    <col min="21" max="16384" width="9.140625" style="108"/>
  </cols>
  <sheetData>
    <row r="5" spans="1:15" ht="15" x14ac:dyDescent="0.2">
      <c r="A5" s="397" t="s">
        <v>23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</row>
    <row r="6" spans="1:15" ht="15" x14ac:dyDescent="0.2">
      <c r="A6" s="397" t="s">
        <v>119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</row>
    <row r="7" spans="1:15" ht="15" x14ac:dyDescent="0.2">
      <c r="A7" s="397" t="s">
        <v>120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</row>
    <row r="8" spans="1:15" ht="15" x14ac:dyDescent="0.2">
      <c r="A8" s="397"/>
      <c r="B8" s="397"/>
      <c r="C8" s="397"/>
      <c r="D8" s="397"/>
      <c r="E8" s="397"/>
      <c r="F8" s="397"/>
      <c r="G8" s="397"/>
      <c r="H8" s="397"/>
      <c r="I8" s="397"/>
      <c r="J8" s="397"/>
      <c r="K8" s="397"/>
      <c r="L8" s="109"/>
      <c r="M8" s="109"/>
      <c r="N8" s="109"/>
    </row>
    <row r="9" spans="1:15" ht="24.75" customHeight="1" x14ac:dyDescent="0.2">
      <c r="A9" s="399" t="s">
        <v>27</v>
      </c>
      <c r="B9" s="391" t="s">
        <v>152</v>
      </c>
      <c r="C9" s="392"/>
      <c r="D9" s="391" t="s">
        <v>28</v>
      </c>
      <c r="E9" s="401"/>
      <c r="F9" s="401"/>
      <c r="G9" s="392"/>
      <c r="H9" s="391" t="s">
        <v>145</v>
      </c>
      <c r="I9" s="401"/>
      <c r="J9" s="401"/>
      <c r="K9" s="392"/>
      <c r="L9" s="436" t="s">
        <v>29</v>
      </c>
      <c r="M9" s="437"/>
      <c r="N9" s="393" t="s">
        <v>34</v>
      </c>
      <c r="O9" s="393" t="s">
        <v>154</v>
      </c>
    </row>
    <row r="10" spans="1:15" ht="47.25" customHeight="1" x14ac:dyDescent="0.2">
      <c r="A10" s="400"/>
      <c r="B10" s="112" t="s">
        <v>1</v>
      </c>
      <c r="C10" s="113" t="s">
        <v>2</v>
      </c>
      <c r="D10" s="112" t="s">
        <v>2</v>
      </c>
      <c r="E10" s="113" t="s">
        <v>3</v>
      </c>
      <c r="F10" s="114" t="s">
        <v>74</v>
      </c>
      <c r="G10" s="114" t="s">
        <v>4</v>
      </c>
      <c r="H10" s="114" t="s">
        <v>51</v>
      </c>
      <c r="I10" s="114" t="s">
        <v>142</v>
      </c>
      <c r="J10" s="114" t="s">
        <v>61</v>
      </c>
      <c r="K10" s="114" t="s">
        <v>6</v>
      </c>
      <c r="L10" s="115" t="s">
        <v>3</v>
      </c>
      <c r="M10" s="116" t="s">
        <v>153</v>
      </c>
      <c r="N10" s="394"/>
      <c r="O10" s="394"/>
    </row>
    <row r="11" spans="1:15" s="158" customFormat="1" ht="12" x14ac:dyDescent="0.2">
      <c r="A11" s="153">
        <v>1</v>
      </c>
      <c r="B11" s="154">
        <v>2</v>
      </c>
      <c r="C11" s="155">
        <v>3</v>
      </c>
      <c r="D11" s="154">
        <v>4</v>
      </c>
      <c r="E11" s="155">
        <v>5</v>
      </c>
      <c r="F11" s="154">
        <v>6</v>
      </c>
      <c r="G11" s="156" t="s">
        <v>44</v>
      </c>
      <c r="H11" s="156" t="s">
        <v>45</v>
      </c>
      <c r="I11" s="156" t="s">
        <v>46</v>
      </c>
      <c r="J11" s="156" t="s">
        <v>47</v>
      </c>
      <c r="K11" s="156">
        <v>11</v>
      </c>
      <c r="L11" s="156">
        <v>12</v>
      </c>
      <c r="M11" s="156">
        <v>13</v>
      </c>
      <c r="N11" s="156">
        <v>14</v>
      </c>
      <c r="O11" s="157" t="s">
        <v>155</v>
      </c>
    </row>
    <row r="12" spans="1:15" ht="18.75" customHeight="1" x14ac:dyDescent="0.25">
      <c r="A12" s="118" t="s">
        <v>37</v>
      </c>
      <c r="B12" s="119" t="s">
        <v>36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</row>
    <row r="13" spans="1:15" ht="5.25" customHeight="1" x14ac:dyDescent="0.25">
      <c r="A13" s="121"/>
      <c r="B13" s="122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</row>
    <row r="14" spans="1:15" s="125" customFormat="1" ht="15" x14ac:dyDescent="0.25">
      <c r="A14" s="124">
        <v>1</v>
      </c>
      <c r="B14" s="123" t="s">
        <v>70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</row>
    <row r="15" spans="1:15" x14ac:dyDescent="0.2">
      <c r="A15" s="126" t="s">
        <v>55</v>
      </c>
      <c r="B15" s="127" t="s">
        <v>71</v>
      </c>
      <c r="C15" s="127" t="s">
        <v>121</v>
      </c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</row>
    <row r="16" spans="1:15" x14ac:dyDescent="0.2">
      <c r="A16" s="126" t="s">
        <v>56</v>
      </c>
      <c r="B16" s="127" t="s">
        <v>71</v>
      </c>
      <c r="C16" s="127" t="s">
        <v>122</v>
      </c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</row>
    <row r="17" spans="1:15" ht="15" x14ac:dyDescent="0.25">
      <c r="A17" s="126"/>
      <c r="B17" s="123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</row>
    <row r="18" spans="1:15" s="125" customFormat="1" ht="15" x14ac:dyDescent="0.25">
      <c r="A18" s="124">
        <v>2</v>
      </c>
      <c r="B18" s="123" t="s">
        <v>72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</row>
    <row r="19" spans="1:15" x14ac:dyDescent="0.2">
      <c r="A19" s="126" t="s">
        <v>55</v>
      </c>
      <c r="B19" s="127" t="s">
        <v>71</v>
      </c>
      <c r="C19" s="127" t="s">
        <v>140</v>
      </c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</row>
    <row r="20" spans="1:15" x14ac:dyDescent="0.2">
      <c r="A20" s="126" t="s">
        <v>56</v>
      </c>
      <c r="B20" s="127" t="s">
        <v>71</v>
      </c>
      <c r="C20" s="127" t="s">
        <v>141</v>
      </c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</row>
    <row r="21" spans="1:15" x14ac:dyDescent="0.2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</row>
    <row r="22" spans="1:15" s="125" customFormat="1" ht="15" x14ac:dyDescent="0.25">
      <c r="A22" s="124">
        <v>3</v>
      </c>
      <c r="B22" s="123" t="s">
        <v>73</v>
      </c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</row>
    <row r="23" spans="1:15" x14ac:dyDescent="0.2">
      <c r="A23" s="126" t="s">
        <v>55</v>
      </c>
      <c r="B23" s="127" t="s">
        <v>99</v>
      </c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</row>
    <row r="24" spans="1:15" x14ac:dyDescent="0.2">
      <c r="A24" s="126" t="s">
        <v>57</v>
      </c>
      <c r="B24" s="127" t="s">
        <v>60</v>
      </c>
      <c r="C24" s="127" t="s">
        <v>123</v>
      </c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</row>
    <row r="25" spans="1:15" x14ac:dyDescent="0.2">
      <c r="A25" s="126" t="s">
        <v>58</v>
      </c>
      <c r="B25" s="127" t="s">
        <v>60</v>
      </c>
      <c r="C25" s="127" t="s">
        <v>124</v>
      </c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</row>
    <row r="26" spans="1:15" x14ac:dyDescent="0.2">
      <c r="A26" s="126" t="s">
        <v>56</v>
      </c>
      <c r="B26" s="127" t="s">
        <v>127</v>
      </c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</row>
    <row r="27" spans="1:15" x14ac:dyDescent="0.2">
      <c r="A27" s="126" t="s">
        <v>57</v>
      </c>
      <c r="B27" s="127" t="s">
        <v>60</v>
      </c>
      <c r="C27" s="127" t="s">
        <v>125</v>
      </c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</row>
    <row r="28" spans="1:15" x14ac:dyDescent="0.2">
      <c r="A28" s="126" t="s">
        <v>58</v>
      </c>
      <c r="B28" s="127" t="s">
        <v>60</v>
      </c>
      <c r="C28" s="127" t="s">
        <v>126</v>
      </c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</row>
    <row r="29" spans="1:15" x14ac:dyDescent="0.2">
      <c r="A29" s="126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</row>
    <row r="30" spans="1:15" s="125" customFormat="1" ht="15" x14ac:dyDescent="0.25">
      <c r="A30" s="124">
        <v>4</v>
      </c>
      <c r="B30" s="123" t="s">
        <v>128</v>
      </c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</row>
    <row r="31" spans="1:15" x14ac:dyDescent="0.2">
      <c r="A31" s="126" t="s">
        <v>55</v>
      </c>
      <c r="B31" s="127" t="s">
        <v>130</v>
      </c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</row>
    <row r="32" spans="1:15" x14ac:dyDescent="0.2">
      <c r="A32" s="126" t="s">
        <v>57</v>
      </c>
      <c r="B32" s="127" t="s">
        <v>60</v>
      </c>
      <c r="C32" s="102" t="s">
        <v>129</v>
      </c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</row>
    <row r="33" spans="1:15" x14ac:dyDescent="0.2">
      <c r="A33" s="126" t="s">
        <v>58</v>
      </c>
      <c r="B33" s="127" t="s">
        <v>60</v>
      </c>
      <c r="C33" s="102" t="s">
        <v>131</v>
      </c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</row>
    <row r="34" spans="1:15" x14ac:dyDescent="0.2">
      <c r="A34" s="126" t="s">
        <v>56</v>
      </c>
      <c r="B34" s="127" t="s">
        <v>132</v>
      </c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</row>
    <row r="35" spans="1:15" x14ac:dyDescent="0.2">
      <c r="A35" s="126" t="s">
        <v>57</v>
      </c>
      <c r="B35" s="127" t="s">
        <v>60</v>
      </c>
      <c r="C35" s="102" t="s">
        <v>133</v>
      </c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</row>
    <row r="36" spans="1:15" x14ac:dyDescent="0.2">
      <c r="A36" s="126" t="s">
        <v>58</v>
      </c>
      <c r="B36" s="127" t="s">
        <v>60</v>
      </c>
      <c r="C36" s="102" t="s">
        <v>134</v>
      </c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</row>
    <row r="37" spans="1:15" x14ac:dyDescent="0.2">
      <c r="A37" s="126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</row>
    <row r="38" spans="1:15" s="125" customFormat="1" ht="15" x14ac:dyDescent="0.25">
      <c r="A38" s="124">
        <v>5</v>
      </c>
      <c r="B38" s="123" t="s">
        <v>135</v>
      </c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</row>
    <row r="39" spans="1:15" x14ac:dyDescent="0.2">
      <c r="A39" s="126" t="s">
        <v>55</v>
      </c>
      <c r="B39" s="127" t="s">
        <v>136</v>
      </c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</row>
    <row r="40" spans="1:15" x14ac:dyDescent="0.2">
      <c r="A40" s="126" t="s">
        <v>57</v>
      </c>
      <c r="B40" s="127" t="s">
        <v>60</v>
      </c>
      <c r="C40" s="102" t="s">
        <v>137</v>
      </c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</row>
    <row r="41" spans="1:15" ht="20.25" customHeight="1" x14ac:dyDescent="0.2">
      <c r="A41" s="128" t="s">
        <v>58</v>
      </c>
      <c r="B41" s="129" t="s">
        <v>60</v>
      </c>
      <c r="C41" s="106" t="s">
        <v>138</v>
      </c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</row>
    <row r="42" spans="1:15" ht="21.75" customHeight="1" x14ac:dyDescent="0.2">
      <c r="A42" s="130" t="s">
        <v>38</v>
      </c>
      <c r="B42" s="463" t="s">
        <v>82</v>
      </c>
      <c r="C42" s="464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</row>
    <row r="43" spans="1:15" ht="6.75" customHeight="1" x14ac:dyDescent="0.2">
      <c r="A43" s="132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</row>
    <row r="44" spans="1:15" ht="15" x14ac:dyDescent="0.25">
      <c r="A44" s="134">
        <v>1</v>
      </c>
      <c r="B44" s="135" t="s">
        <v>70</v>
      </c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</row>
    <row r="45" spans="1:15" x14ac:dyDescent="0.2">
      <c r="A45" s="136" t="s">
        <v>55</v>
      </c>
      <c r="B45" s="137" t="s">
        <v>71</v>
      </c>
      <c r="C45" s="127" t="s">
        <v>121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</row>
    <row r="46" spans="1:15" x14ac:dyDescent="0.2">
      <c r="A46" s="136" t="s">
        <v>56</v>
      </c>
      <c r="B46" s="137" t="s">
        <v>71</v>
      </c>
      <c r="C46" s="127" t="s">
        <v>122</v>
      </c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</row>
    <row r="47" spans="1:15" ht="15" x14ac:dyDescent="0.25">
      <c r="A47" s="136"/>
      <c r="B47" s="135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</row>
    <row r="48" spans="1:15" ht="15" x14ac:dyDescent="0.25">
      <c r="A48" s="134">
        <v>2</v>
      </c>
      <c r="B48" s="135" t="s">
        <v>72</v>
      </c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</row>
    <row r="49" spans="1:57" x14ac:dyDescent="0.2">
      <c r="A49" s="136" t="s">
        <v>55</v>
      </c>
      <c r="B49" s="137" t="s">
        <v>71</v>
      </c>
      <c r="C49" s="127" t="s">
        <v>140</v>
      </c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</row>
    <row r="50" spans="1:57" x14ac:dyDescent="0.2">
      <c r="A50" s="117" t="s">
        <v>56</v>
      </c>
      <c r="B50" s="138" t="s">
        <v>71</v>
      </c>
      <c r="C50" s="139" t="s">
        <v>141</v>
      </c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</row>
    <row r="51" spans="1:57" x14ac:dyDescent="0.2">
      <c r="A51" s="140"/>
      <c r="B51" s="164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</row>
    <row r="52" spans="1:57" x14ac:dyDescent="0.2">
      <c r="B52" s="160"/>
    </row>
    <row r="53" spans="1:57" x14ac:dyDescent="0.2">
      <c r="A53" s="390">
        <v>2</v>
      </c>
      <c r="B53" s="390"/>
      <c r="C53" s="390"/>
      <c r="D53" s="390"/>
      <c r="E53" s="390"/>
      <c r="F53" s="390"/>
      <c r="G53" s="390"/>
      <c r="H53" s="390"/>
      <c r="I53" s="390"/>
      <c r="J53" s="390"/>
      <c r="K53" s="390"/>
      <c r="L53" s="390"/>
      <c r="M53" s="390"/>
      <c r="N53" s="390"/>
      <c r="O53" s="390"/>
    </row>
    <row r="54" spans="1:57" ht="15" x14ac:dyDescent="0.25">
      <c r="B54" s="142"/>
    </row>
    <row r="55" spans="1:57" s="145" customFormat="1" ht="15" x14ac:dyDescent="0.25">
      <c r="A55" s="143"/>
      <c r="B55" s="144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</row>
    <row r="56" spans="1:57" ht="24.75" customHeight="1" x14ac:dyDescent="0.2">
      <c r="A56" s="399" t="s">
        <v>27</v>
      </c>
      <c r="B56" s="438" t="s">
        <v>152</v>
      </c>
      <c r="C56" s="439"/>
      <c r="D56" s="438" t="s">
        <v>28</v>
      </c>
      <c r="E56" s="458"/>
      <c r="F56" s="458"/>
      <c r="G56" s="439"/>
      <c r="H56" s="438" t="s">
        <v>145</v>
      </c>
      <c r="I56" s="458"/>
      <c r="J56" s="458"/>
      <c r="K56" s="439"/>
      <c r="L56" s="465" t="s">
        <v>29</v>
      </c>
      <c r="M56" s="466"/>
      <c r="N56" s="393" t="s">
        <v>34</v>
      </c>
      <c r="O56" s="393" t="s">
        <v>154</v>
      </c>
    </row>
    <row r="57" spans="1:57" ht="33.75" customHeight="1" x14ac:dyDescent="0.2">
      <c r="A57" s="400"/>
      <c r="B57" s="112" t="s">
        <v>1</v>
      </c>
      <c r="C57" s="113" t="s">
        <v>2</v>
      </c>
      <c r="D57" s="112" t="s">
        <v>2</v>
      </c>
      <c r="E57" s="113" t="s">
        <v>3</v>
      </c>
      <c r="F57" s="114" t="s">
        <v>74</v>
      </c>
      <c r="G57" s="114" t="s">
        <v>4</v>
      </c>
      <c r="H57" s="114" t="s">
        <v>51</v>
      </c>
      <c r="I57" s="114" t="s">
        <v>142</v>
      </c>
      <c r="J57" s="114" t="s">
        <v>61</v>
      </c>
      <c r="K57" s="114" t="s">
        <v>6</v>
      </c>
      <c r="L57" s="115" t="s">
        <v>3</v>
      </c>
      <c r="M57" s="116" t="s">
        <v>153</v>
      </c>
      <c r="N57" s="394"/>
      <c r="O57" s="394"/>
    </row>
    <row r="58" spans="1:57" s="158" customFormat="1" ht="12" x14ac:dyDescent="0.2">
      <c r="A58" s="153">
        <v>1</v>
      </c>
      <c r="B58" s="154">
        <v>2</v>
      </c>
      <c r="C58" s="155">
        <v>3</v>
      </c>
      <c r="D58" s="154">
        <v>4</v>
      </c>
      <c r="E58" s="155">
        <v>5</v>
      </c>
      <c r="F58" s="154">
        <v>6</v>
      </c>
      <c r="G58" s="156" t="s">
        <v>44</v>
      </c>
      <c r="H58" s="156" t="s">
        <v>45</v>
      </c>
      <c r="I58" s="156" t="s">
        <v>46</v>
      </c>
      <c r="J58" s="156" t="s">
        <v>47</v>
      </c>
      <c r="K58" s="156">
        <v>11</v>
      </c>
      <c r="L58" s="156">
        <v>12</v>
      </c>
      <c r="M58" s="156">
        <v>13</v>
      </c>
      <c r="N58" s="156">
        <v>14</v>
      </c>
      <c r="O58" s="157" t="s">
        <v>155</v>
      </c>
    </row>
    <row r="59" spans="1:57" ht="6.75" customHeight="1" x14ac:dyDescent="0.25">
      <c r="A59" s="146"/>
      <c r="B59" s="147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</row>
    <row r="60" spans="1:57" ht="15" x14ac:dyDescent="0.25">
      <c r="A60" s="134">
        <v>3</v>
      </c>
      <c r="B60" s="135" t="s">
        <v>73</v>
      </c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</row>
    <row r="61" spans="1:57" x14ac:dyDescent="0.2">
      <c r="A61" s="136" t="s">
        <v>55</v>
      </c>
      <c r="B61" s="137" t="s">
        <v>54</v>
      </c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</row>
    <row r="62" spans="1:57" x14ac:dyDescent="0.2">
      <c r="A62" s="126" t="s">
        <v>57</v>
      </c>
      <c r="B62" s="127" t="s">
        <v>60</v>
      </c>
      <c r="C62" s="127" t="s">
        <v>123</v>
      </c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</row>
    <row r="63" spans="1:57" x14ac:dyDescent="0.2">
      <c r="A63" s="126" t="s">
        <v>58</v>
      </c>
      <c r="B63" s="127" t="s">
        <v>60</v>
      </c>
      <c r="C63" s="127" t="s">
        <v>124</v>
      </c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</row>
    <row r="64" spans="1:57" x14ac:dyDescent="0.2">
      <c r="A64" s="126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</row>
    <row r="65" spans="1:15" x14ac:dyDescent="0.2">
      <c r="A65" s="136" t="s">
        <v>56</v>
      </c>
      <c r="B65" s="127" t="s">
        <v>59</v>
      </c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</row>
    <row r="66" spans="1:15" x14ac:dyDescent="0.2">
      <c r="A66" s="126" t="s">
        <v>57</v>
      </c>
      <c r="B66" s="127" t="s">
        <v>60</v>
      </c>
      <c r="C66" s="127" t="s">
        <v>125</v>
      </c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</row>
    <row r="67" spans="1:15" x14ac:dyDescent="0.2">
      <c r="A67" s="126" t="s">
        <v>58</v>
      </c>
      <c r="B67" s="127" t="s">
        <v>60</v>
      </c>
      <c r="C67" s="127" t="s">
        <v>126</v>
      </c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</row>
    <row r="68" spans="1:15" x14ac:dyDescent="0.2">
      <c r="A68" s="126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</row>
    <row r="69" spans="1:15" s="125" customFormat="1" ht="15" x14ac:dyDescent="0.25">
      <c r="A69" s="124">
        <v>4</v>
      </c>
      <c r="B69" s="123" t="s">
        <v>128</v>
      </c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</row>
    <row r="70" spans="1:15" x14ac:dyDescent="0.2">
      <c r="A70" s="126" t="s">
        <v>55</v>
      </c>
      <c r="B70" s="127" t="s">
        <v>130</v>
      </c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</row>
    <row r="71" spans="1:15" x14ac:dyDescent="0.2">
      <c r="A71" s="126" t="s">
        <v>57</v>
      </c>
      <c r="B71" s="127" t="s">
        <v>60</v>
      </c>
      <c r="C71" s="102" t="s">
        <v>129</v>
      </c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</row>
    <row r="72" spans="1:15" x14ac:dyDescent="0.2">
      <c r="A72" s="126" t="s">
        <v>58</v>
      </c>
      <c r="B72" s="127" t="s">
        <v>60</v>
      </c>
      <c r="C72" s="102" t="s">
        <v>131</v>
      </c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</row>
    <row r="73" spans="1:15" x14ac:dyDescent="0.2">
      <c r="A73" s="126" t="s">
        <v>56</v>
      </c>
      <c r="B73" s="127" t="s">
        <v>132</v>
      </c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</row>
    <row r="74" spans="1:15" x14ac:dyDescent="0.2">
      <c r="A74" s="126" t="s">
        <v>57</v>
      </c>
      <c r="B74" s="127" t="s">
        <v>60</v>
      </c>
      <c r="C74" s="102" t="s">
        <v>133</v>
      </c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</row>
    <row r="75" spans="1:15" x14ac:dyDescent="0.2">
      <c r="A75" s="126" t="s">
        <v>58</v>
      </c>
      <c r="B75" s="127" t="s">
        <v>60</v>
      </c>
      <c r="C75" s="102" t="s">
        <v>134</v>
      </c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</row>
    <row r="76" spans="1:15" x14ac:dyDescent="0.2">
      <c r="A76" s="126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</row>
    <row r="77" spans="1:15" s="125" customFormat="1" ht="15" x14ac:dyDescent="0.25">
      <c r="A77" s="124">
        <v>5</v>
      </c>
      <c r="B77" s="123" t="s">
        <v>135</v>
      </c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</row>
    <row r="78" spans="1:15" x14ac:dyDescent="0.2">
      <c r="A78" s="126" t="s">
        <v>55</v>
      </c>
      <c r="B78" s="127" t="s">
        <v>136</v>
      </c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</row>
    <row r="79" spans="1:15" x14ac:dyDescent="0.2">
      <c r="A79" s="126" t="s">
        <v>57</v>
      </c>
      <c r="B79" s="127" t="s">
        <v>60</v>
      </c>
      <c r="C79" s="102" t="s">
        <v>137</v>
      </c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</row>
    <row r="80" spans="1:15" x14ac:dyDescent="0.2">
      <c r="A80" s="126" t="s">
        <v>58</v>
      </c>
      <c r="B80" s="127" t="s">
        <v>60</v>
      </c>
      <c r="C80" s="102" t="s">
        <v>138</v>
      </c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</row>
    <row r="81" spans="1:18" x14ac:dyDescent="0.2">
      <c r="A81" s="126"/>
      <c r="B81" s="127"/>
      <c r="C81" s="102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</row>
    <row r="82" spans="1:18" s="152" customFormat="1" ht="18" customHeight="1" x14ac:dyDescent="0.25">
      <c r="A82" s="149" t="s">
        <v>139</v>
      </c>
      <c r="B82" s="149" t="s">
        <v>8</v>
      </c>
      <c r="C82" s="149" t="s">
        <v>9</v>
      </c>
      <c r="D82" s="149" t="s">
        <v>10</v>
      </c>
      <c r="E82" s="149" t="s">
        <v>11</v>
      </c>
      <c r="F82" s="149" t="s">
        <v>12</v>
      </c>
      <c r="G82" s="149" t="s">
        <v>13</v>
      </c>
      <c r="H82" s="149" t="s">
        <v>14</v>
      </c>
      <c r="I82" s="150" t="s">
        <v>15</v>
      </c>
      <c r="J82" s="149" t="s">
        <v>16</v>
      </c>
      <c r="K82" s="149" t="s">
        <v>17</v>
      </c>
      <c r="L82" s="149" t="s">
        <v>18</v>
      </c>
      <c r="M82" s="149" t="s">
        <v>19</v>
      </c>
      <c r="N82" s="149" t="s">
        <v>31</v>
      </c>
      <c r="O82" s="149" t="s">
        <v>32</v>
      </c>
      <c r="P82" s="149" t="s">
        <v>19</v>
      </c>
      <c r="Q82" s="151"/>
      <c r="R82" s="151"/>
    </row>
    <row r="83" spans="1:18" x14ac:dyDescent="0.2">
      <c r="A83" s="117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</row>
    <row r="84" spans="1:18" ht="18" customHeight="1" x14ac:dyDescent="0.2">
      <c r="A84" s="388"/>
      <c r="B84" s="436" t="s">
        <v>156</v>
      </c>
      <c r="C84" s="437"/>
      <c r="D84" s="388"/>
      <c r="E84" s="388"/>
      <c r="F84" s="388"/>
      <c r="G84" s="388"/>
      <c r="H84" s="388"/>
      <c r="I84" s="388"/>
      <c r="J84" s="388"/>
      <c r="K84" s="388"/>
      <c r="L84" s="388"/>
      <c r="M84" s="388"/>
      <c r="N84" s="388"/>
      <c r="O84" s="162" t="s">
        <v>157</v>
      </c>
    </row>
    <row r="85" spans="1:18" ht="18" customHeight="1" x14ac:dyDescent="0.2">
      <c r="A85" s="389"/>
      <c r="B85" s="438"/>
      <c r="C85" s="439"/>
      <c r="D85" s="389"/>
      <c r="E85" s="389"/>
      <c r="F85" s="389"/>
      <c r="G85" s="389"/>
      <c r="H85" s="389"/>
      <c r="I85" s="389"/>
      <c r="J85" s="389"/>
      <c r="K85" s="389"/>
      <c r="L85" s="389"/>
      <c r="M85" s="389"/>
      <c r="N85" s="389"/>
      <c r="O85" s="163" t="s">
        <v>76</v>
      </c>
    </row>
    <row r="87" spans="1:18" ht="15" x14ac:dyDescent="0.2">
      <c r="A87" s="390"/>
      <c r="B87" s="390"/>
      <c r="C87" s="390"/>
      <c r="D87" s="390"/>
      <c r="L87" s="468" t="s">
        <v>147</v>
      </c>
      <c r="M87" s="468"/>
      <c r="N87" s="468"/>
      <c r="O87" s="468"/>
    </row>
    <row r="88" spans="1:18" ht="15" x14ac:dyDescent="0.2">
      <c r="A88" s="390"/>
      <c r="B88" s="390"/>
      <c r="C88" s="390"/>
      <c r="D88" s="390"/>
      <c r="L88" s="159"/>
      <c r="M88" s="159"/>
      <c r="N88" s="159"/>
      <c r="O88" s="159"/>
    </row>
    <row r="89" spans="1:18" ht="15" x14ac:dyDescent="0.2">
      <c r="L89" s="159"/>
      <c r="M89" s="159"/>
      <c r="N89" s="159"/>
      <c r="O89" s="159"/>
    </row>
    <row r="90" spans="1:18" ht="15" x14ac:dyDescent="0.2">
      <c r="L90" s="159"/>
      <c r="M90" s="159"/>
      <c r="N90" s="159"/>
      <c r="O90" s="161"/>
    </row>
    <row r="91" spans="1:18" ht="15" x14ac:dyDescent="0.2">
      <c r="L91" s="159"/>
      <c r="M91" s="159"/>
      <c r="N91" s="159"/>
      <c r="O91" s="159"/>
    </row>
    <row r="92" spans="1:18" ht="15" x14ac:dyDescent="0.2">
      <c r="L92" s="468" t="s">
        <v>2</v>
      </c>
      <c r="M92" s="468"/>
      <c r="N92" s="468"/>
      <c r="O92" s="468"/>
    </row>
    <row r="93" spans="1:18" ht="15" x14ac:dyDescent="0.2">
      <c r="C93" s="107"/>
      <c r="L93" s="468" t="s">
        <v>22</v>
      </c>
      <c r="M93" s="468"/>
      <c r="N93" s="468"/>
      <c r="O93" s="468"/>
    </row>
    <row r="94" spans="1:18" x14ac:dyDescent="0.2">
      <c r="C94" s="107"/>
    </row>
    <row r="100" spans="1:4" ht="15" x14ac:dyDescent="0.25">
      <c r="A100" s="467"/>
      <c r="B100" s="467"/>
      <c r="C100" s="467"/>
      <c r="D100" s="467"/>
    </row>
  </sheetData>
  <mergeCells count="39">
    <mergeCell ref="A100:D100"/>
    <mergeCell ref="A88:D88"/>
    <mergeCell ref="K84:K85"/>
    <mergeCell ref="L84:L85"/>
    <mergeCell ref="M84:M85"/>
    <mergeCell ref="F84:F85"/>
    <mergeCell ref="G84:G85"/>
    <mergeCell ref="H84:H85"/>
    <mergeCell ref="I84:I85"/>
    <mergeCell ref="J84:J85"/>
    <mergeCell ref="L93:O93"/>
    <mergeCell ref="L87:O87"/>
    <mergeCell ref="L92:O92"/>
    <mergeCell ref="A87:D87"/>
    <mergeCell ref="A53:O53"/>
    <mergeCell ref="A84:A85"/>
    <mergeCell ref="B84:C85"/>
    <mergeCell ref="D84:D85"/>
    <mergeCell ref="E84:E85"/>
    <mergeCell ref="N84:N85"/>
    <mergeCell ref="A56:A57"/>
    <mergeCell ref="B56:C56"/>
    <mergeCell ref="D56:G56"/>
    <mergeCell ref="H56:K56"/>
    <mergeCell ref="L56:M56"/>
    <mergeCell ref="N56:N57"/>
    <mergeCell ref="O56:O57"/>
    <mergeCell ref="B42:C42"/>
    <mergeCell ref="A5:O5"/>
    <mergeCell ref="A6:O6"/>
    <mergeCell ref="A7:O7"/>
    <mergeCell ref="A8:K8"/>
    <mergeCell ref="A9:A10"/>
    <mergeCell ref="B9:C9"/>
    <mergeCell ref="D9:G9"/>
    <mergeCell ref="H9:K9"/>
    <mergeCell ref="O9:O10"/>
    <mergeCell ref="L9:M9"/>
    <mergeCell ref="N9:N10"/>
  </mergeCells>
  <pageMargins left="1.299212598425197" right="0.19685039370078741" top="0.23622047244094491" bottom="0.74803149606299213" header="0.31496062992125984" footer="0.31496062992125984"/>
  <pageSetup paperSize="5" scale="73" fitToHeight="0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AH33"/>
  <sheetViews>
    <sheetView topLeftCell="A4" zoomScaleNormal="100" workbookViewId="0">
      <selection activeCell="C28" sqref="A28:K29"/>
    </sheetView>
  </sheetViews>
  <sheetFormatPr defaultColWidth="9.140625" defaultRowHeight="12.75" x14ac:dyDescent="0.2"/>
  <cols>
    <col min="1" max="1" width="6" style="33" customWidth="1"/>
    <col min="2" max="2" width="29" style="1" customWidth="1"/>
    <col min="3" max="3" width="11.28515625" style="1" customWidth="1"/>
    <col min="4" max="4" width="11.28515625" style="1" hidden="1" customWidth="1"/>
    <col min="5" max="5" width="11.28515625" style="1" customWidth="1"/>
    <col min="6" max="6" width="12.42578125" style="1" bestFit="1" customWidth="1"/>
    <col min="7" max="7" width="12.85546875" style="1" customWidth="1"/>
    <col min="8" max="8" width="13.42578125" style="15" customWidth="1"/>
    <col min="9" max="9" width="11.28515625" style="1" customWidth="1"/>
    <col min="10" max="10" width="12.7109375" style="1" customWidth="1"/>
    <col min="11" max="12" width="11.28515625" style="1" customWidth="1"/>
    <col min="13" max="13" width="17.140625" style="1" customWidth="1"/>
    <col min="14" max="14" width="13.140625" style="1" hidden="1" customWidth="1"/>
    <col min="15" max="15" width="14" style="1" hidden="1" customWidth="1"/>
    <col min="16" max="16" width="0.28515625" style="1" hidden="1" customWidth="1"/>
    <col min="17" max="16384" width="9.140625" style="1"/>
  </cols>
  <sheetData>
    <row r="2" spans="1:34" ht="15" customHeight="1" x14ac:dyDescent="0.2">
      <c r="A2" s="374" t="s">
        <v>23</v>
      </c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</row>
    <row r="3" spans="1:34" ht="15" customHeight="1" x14ac:dyDescent="0.2">
      <c r="A3" s="374" t="s">
        <v>79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</row>
    <row r="4" spans="1:34" ht="15" customHeight="1" x14ac:dyDescent="0.2">
      <c r="A4" s="374" t="s">
        <v>80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4"/>
    </row>
    <row r="5" spans="1:34" ht="21.75" customHeight="1" x14ac:dyDescent="0.2">
      <c r="B5" s="374"/>
      <c r="C5" s="374"/>
      <c r="D5" s="374"/>
      <c r="E5" s="374"/>
      <c r="F5" s="374"/>
      <c r="G5" s="374"/>
      <c r="H5" s="374"/>
      <c r="I5" s="374"/>
    </row>
    <row r="6" spans="1:34" ht="24.75" customHeight="1" x14ac:dyDescent="0.2">
      <c r="A6" s="375" t="s">
        <v>27</v>
      </c>
      <c r="B6" s="371" t="s">
        <v>28</v>
      </c>
      <c r="C6" s="372"/>
      <c r="D6" s="372"/>
      <c r="E6" s="372"/>
      <c r="F6" s="373"/>
      <c r="G6" s="377" t="s">
        <v>0</v>
      </c>
      <c r="H6" s="377"/>
      <c r="I6" s="378"/>
      <c r="J6" s="469" t="s">
        <v>29</v>
      </c>
      <c r="K6" s="378"/>
      <c r="L6" s="379" t="s">
        <v>30</v>
      </c>
      <c r="M6" s="379" t="s">
        <v>81</v>
      </c>
      <c r="N6" s="379" t="s">
        <v>39</v>
      </c>
      <c r="O6" s="379" t="s">
        <v>24</v>
      </c>
      <c r="P6" s="379" t="s">
        <v>25</v>
      </c>
    </row>
    <row r="7" spans="1:34" ht="25.5" x14ac:dyDescent="0.2">
      <c r="A7" s="376"/>
      <c r="B7" s="13" t="s">
        <v>2</v>
      </c>
      <c r="C7" s="14" t="s">
        <v>3</v>
      </c>
      <c r="D7" s="13" t="s">
        <v>2</v>
      </c>
      <c r="E7" s="13" t="s">
        <v>74</v>
      </c>
      <c r="F7" s="13" t="s">
        <v>4</v>
      </c>
      <c r="G7" s="2" t="s">
        <v>51</v>
      </c>
      <c r="H7" s="2" t="s">
        <v>61</v>
      </c>
      <c r="I7" s="10" t="s">
        <v>6</v>
      </c>
      <c r="J7" s="30" t="s">
        <v>3</v>
      </c>
      <c r="K7" s="10" t="s">
        <v>7</v>
      </c>
      <c r="L7" s="380"/>
      <c r="M7" s="380"/>
      <c r="N7" s="380"/>
      <c r="O7" s="380"/>
      <c r="P7" s="380"/>
    </row>
    <row r="8" spans="1:34" s="36" customFormat="1" ht="11.25" x14ac:dyDescent="0.25">
      <c r="A8" s="50">
        <v>1</v>
      </c>
      <c r="B8" s="50">
        <v>2</v>
      </c>
      <c r="C8" s="51" t="s">
        <v>40</v>
      </c>
      <c r="D8" s="50">
        <v>5</v>
      </c>
      <c r="E8" s="51" t="s">
        <v>41</v>
      </c>
      <c r="F8" s="51" t="s">
        <v>42</v>
      </c>
      <c r="G8" s="52" t="s">
        <v>43</v>
      </c>
      <c r="H8" s="51" t="s">
        <v>44</v>
      </c>
      <c r="I8" s="51" t="s">
        <v>45</v>
      </c>
      <c r="J8" s="51" t="s">
        <v>46</v>
      </c>
      <c r="K8" s="51" t="s">
        <v>47</v>
      </c>
      <c r="L8" s="51" t="s">
        <v>48</v>
      </c>
      <c r="M8" s="51">
        <v>12</v>
      </c>
      <c r="N8" s="37">
        <v>14</v>
      </c>
      <c r="O8" s="35">
        <v>15</v>
      </c>
      <c r="P8" s="35">
        <v>16</v>
      </c>
    </row>
    <row r="9" spans="1:34" s="24" customFormat="1" x14ac:dyDescent="0.25">
      <c r="A9" s="38" t="s">
        <v>37</v>
      </c>
      <c r="B9" s="39" t="s">
        <v>36</v>
      </c>
      <c r="C9" s="19"/>
      <c r="D9" s="19"/>
      <c r="E9" s="19"/>
      <c r="F9" s="19"/>
      <c r="G9" s="19"/>
      <c r="H9" s="26"/>
      <c r="I9" s="19"/>
      <c r="J9" s="19"/>
      <c r="K9" s="19"/>
      <c r="L9" s="19"/>
      <c r="M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s="20" customFormat="1" x14ac:dyDescent="0.25">
      <c r="A10" s="40">
        <v>1</v>
      </c>
      <c r="B10" s="19" t="s">
        <v>49</v>
      </c>
      <c r="C10" s="47" t="s">
        <v>50</v>
      </c>
      <c r="D10" s="19"/>
      <c r="E10" s="40" t="s">
        <v>78</v>
      </c>
      <c r="F10" s="40" t="s">
        <v>52</v>
      </c>
      <c r="G10" s="42" t="s">
        <v>77</v>
      </c>
      <c r="H10" s="43" t="s">
        <v>83</v>
      </c>
      <c r="I10" s="42" t="s">
        <v>77</v>
      </c>
      <c r="J10" s="40" t="s">
        <v>66</v>
      </c>
      <c r="K10" s="40" t="s">
        <v>53</v>
      </c>
      <c r="L10" s="19"/>
      <c r="M10" s="44" t="s">
        <v>77</v>
      </c>
      <c r="N10" s="18"/>
      <c r="O10" s="19"/>
      <c r="P10" s="17"/>
    </row>
    <row r="11" spans="1:34" s="20" customFormat="1" x14ac:dyDescent="0.25">
      <c r="A11" s="40"/>
      <c r="B11" s="19"/>
      <c r="C11" s="47"/>
      <c r="D11" s="19"/>
      <c r="E11" s="40"/>
      <c r="F11" s="40"/>
      <c r="G11" s="42"/>
      <c r="H11" s="43"/>
      <c r="I11" s="42"/>
      <c r="J11" s="40"/>
      <c r="K11" s="40"/>
      <c r="L11" s="19"/>
      <c r="M11" s="44"/>
      <c r="N11" s="18"/>
      <c r="O11" s="19"/>
      <c r="P11" s="17"/>
    </row>
    <row r="12" spans="1:34" s="20" customFormat="1" x14ac:dyDescent="0.25">
      <c r="A12" s="40"/>
      <c r="B12" s="19"/>
      <c r="C12" s="47"/>
      <c r="D12" s="19"/>
      <c r="E12" s="40"/>
      <c r="F12" s="40"/>
      <c r="G12" s="42"/>
      <c r="H12" s="43"/>
      <c r="I12" s="42"/>
      <c r="J12" s="40"/>
      <c r="K12" s="40"/>
      <c r="L12" s="19"/>
      <c r="M12" s="44"/>
      <c r="N12" s="18"/>
      <c r="O12" s="19"/>
      <c r="P12" s="17"/>
    </row>
    <row r="13" spans="1:34" s="24" customFormat="1" ht="38.25" x14ac:dyDescent="0.25">
      <c r="A13" s="38" t="s">
        <v>38</v>
      </c>
      <c r="B13" s="45" t="s">
        <v>82</v>
      </c>
      <c r="C13" s="40"/>
      <c r="D13" s="19"/>
      <c r="E13" s="40"/>
      <c r="F13" s="40"/>
      <c r="G13" s="42"/>
      <c r="H13" s="43"/>
      <c r="I13" s="42"/>
      <c r="J13" s="40"/>
      <c r="K13" s="40"/>
      <c r="L13" s="19"/>
      <c r="M13" s="44"/>
      <c r="N13" s="22"/>
      <c r="O13" s="23"/>
      <c r="P13" s="21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</row>
    <row r="14" spans="1:34" s="20" customFormat="1" ht="25.5" x14ac:dyDescent="0.25">
      <c r="A14" s="40">
        <v>1</v>
      </c>
      <c r="B14" s="26" t="s">
        <v>65</v>
      </c>
      <c r="C14" s="47" t="s">
        <v>50</v>
      </c>
      <c r="D14" s="19"/>
      <c r="E14" s="40" t="s">
        <v>78</v>
      </c>
      <c r="F14" s="40" t="s">
        <v>52</v>
      </c>
      <c r="G14" s="56" t="s">
        <v>33</v>
      </c>
      <c r="H14" s="57" t="s">
        <v>33</v>
      </c>
      <c r="I14" s="56" t="s">
        <v>33</v>
      </c>
      <c r="J14" s="40" t="s">
        <v>66</v>
      </c>
      <c r="K14" s="40" t="s">
        <v>53</v>
      </c>
      <c r="L14" s="19"/>
      <c r="M14" s="44" t="s">
        <v>77</v>
      </c>
      <c r="N14" s="18"/>
      <c r="O14" s="19"/>
      <c r="P14" s="17"/>
    </row>
    <row r="15" spans="1:34" s="20" customFormat="1" x14ac:dyDescent="0.25">
      <c r="A15" s="40"/>
      <c r="B15" s="26"/>
      <c r="C15" s="47"/>
      <c r="D15" s="19"/>
      <c r="E15" s="40"/>
      <c r="F15" s="40"/>
      <c r="G15" s="56"/>
      <c r="H15" s="57"/>
      <c r="I15" s="56"/>
      <c r="J15" s="40"/>
      <c r="K15" s="40"/>
      <c r="L15" s="19"/>
      <c r="M15" s="44"/>
      <c r="N15" s="18"/>
      <c r="O15" s="19"/>
      <c r="P15" s="19"/>
    </row>
    <row r="16" spans="1:34" s="20" customFormat="1" ht="25.5" x14ac:dyDescent="0.25">
      <c r="A16" s="40">
        <v>2</v>
      </c>
      <c r="B16" s="26" t="s">
        <v>75</v>
      </c>
      <c r="C16" s="47" t="s">
        <v>50</v>
      </c>
      <c r="D16" s="19"/>
      <c r="E16" s="40" t="s">
        <v>76</v>
      </c>
      <c r="F16" s="40" t="s">
        <v>52</v>
      </c>
      <c r="G16" s="56" t="s">
        <v>33</v>
      </c>
      <c r="H16" s="57" t="s">
        <v>33</v>
      </c>
      <c r="I16" s="56" t="s">
        <v>33</v>
      </c>
      <c r="J16" s="40" t="s">
        <v>66</v>
      </c>
      <c r="K16" s="40" t="s">
        <v>53</v>
      </c>
      <c r="L16" s="19"/>
      <c r="M16" s="44" t="s">
        <v>77</v>
      </c>
      <c r="N16" s="18"/>
      <c r="O16" s="19"/>
      <c r="P16" s="19"/>
    </row>
    <row r="17" spans="1:16" s="20" customFormat="1" x14ac:dyDescent="0.25">
      <c r="A17" s="40"/>
      <c r="B17" s="26"/>
      <c r="C17" s="41"/>
      <c r="D17" s="19"/>
      <c r="E17" s="40"/>
      <c r="F17" s="40"/>
      <c r="G17" s="56"/>
      <c r="H17" s="57"/>
      <c r="I17" s="56"/>
      <c r="J17" s="40"/>
      <c r="K17" s="40"/>
      <c r="L17" s="19"/>
      <c r="M17" s="44"/>
      <c r="N17" s="18"/>
      <c r="O17" s="19"/>
      <c r="P17" s="19"/>
    </row>
    <row r="18" spans="1:16" s="20" customFormat="1" x14ac:dyDescent="0.25">
      <c r="A18" s="40"/>
      <c r="B18" s="26"/>
      <c r="C18" s="41"/>
      <c r="D18" s="19"/>
      <c r="E18" s="40"/>
      <c r="F18" s="40"/>
      <c r="G18" s="40"/>
      <c r="H18" s="46"/>
      <c r="I18" s="40"/>
      <c r="J18" s="19"/>
      <c r="K18" s="19"/>
      <c r="L18" s="19"/>
      <c r="M18" s="19"/>
      <c r="N18" s="18"/>
      <c r="O18" s="19"/>
      <c r="P18" s="19"/>
    </row>
    <row r="19" spans="1:16" s="20" customFormat="1" x14ac:dyDescent="0.25">
      <c r="A19" s="47" t="s">
        <v>8</v>
      </c>
      <c r="B19" s="47" t="s">
        <v>9</v>
      </c>
      <c r="C19" s="47" t="s">
        <v>10</v>
      </c>
      <c r="D19" s="47" t="s">
        <v>12</v>
      </c>
      <c r="E19" s="47" t="s">
        <v>11</v>
      </c>
      <c r="F19" s="47" t="s">
        <v>12</v>
      </c>
      <c r="G19" s="47" t="s">
        <v>13</v>
      </c>
      <c r="H19" s="47" t="s">
        <v>14</v>
      </c>
      <c r="I19" s="48" t="s">
        <v>15</v>
      </c>
      <c r="J19" s="47" t="s">
        <v>16</v>
      </c>
      <c r="K19" s="47" t="s">
        <v>17</v>
      </c>
      <c r="L19" s="47" t="s">
        <v>18</v>
      </c>
      <c r="M19" s="47" t="s">
        <v>19</v>
      </c>
      <c r="N19" s="47" t="s">
        <v>19</v>
      </c>
      <c r="O19" s="19"/>
      <c r="P19" s="19"/>
    </row>
    <row r="20" spans="1:16" s="20" customFormat="1" x14ac:dyDescent="0.25">
      <c r="A20" s="40"/>
      <c r="B20" s="26"/>
      <c r="C20" s="41"/>
      <c r="D20" s="19"/>
      <c r="E20" s="19"/>
      <c r="F20" s="19"/>
      <c r="G20" s="40"/>
      <c r="H20" s="46"/>
      <c r="I20" s="40"/>
      <c r="J20" s="19"/>
      <c r="K20" s="19"/>
      <c r="L20" s="19"/>
      <c r="M20" s="19"/>
      <c r="N20" s="18"/>
      <c r="O20" s="19"/>
      <c r="P20" s="19"/>
    </row>
    <row r="21" spans="1:16" s="20" customFormat="1" x14ac:dyDescent="0.25">
      <c r="A21" s="40"/>
      <c r="B21" s="26"/>
      <c r="C21" s="41"/>
      <c r="D21" s="19"/>
      <c r="E21" s="19"/>
      <c r="F21" s="19"/>
      <c r="G21" s="40"/>
      <c r="H21" s="46"/>
      <c r="I21" s="40"/>
      <c r="J21" s="19"/>
      <c r="K21" s="19"/>
      <c r="L21" s="19"/>
      <c r="M21" s="19"/>
      <c r="N21" s="18"/>
      <c r="O21" s="19"/>
      <c r="P21" s="19"/>
    </row>
    <row r="22" spans="1:16" x14ac:dyDescent="0.2">
      <c r="A22" s="53"/>
      <c r="B22" s="54" t="s">
        <v>84</v>
      </c>
      <c r="C22" s="8"/>
      <c r="D22" s="8"/>
      <c r="E22" s="8"/>
      <c r="F22" s="8"/>
      <c r="G22" s="8"/>
      <c r="H22" s="55"/>
      <c r="I22" s="8"/>
      <c r="J22" s="8"/>
      <c r="K22" s="8"/>
      <c r="L22" s="8"/>
      <c r="M22" s="8"/>
    </row>
    <row r="23" spans="1:16" x14ac:dyDescent="0.2">
      <c r="B23" s="470"/>
      <c r="C23" s="470"/>
      <c r="D23" s="382"/>
      <c r="E23" s="382"/>
      <c r="F23" s="382"/>
      <c r="G23" s="382"/>
      <c r="H23" s="382"/>
      <c r="I23" s="382"/>
      <c r="K23" s="382"/>
      <c r="L23" s="382"/>
      <c r="M23" s="382"/>
      <c r="N23" s="382"/>
    </row>
    <row r="24" spans="1:16" x14ac:dyDescent="0.2">
      <c r="B24" s="470"/>
      <c r="C24" s="470"/>
      <c r="D24" s="471"/>
      <c r="E24" s="471"/>
      <c r="F24" s="471"/>
      <c r="G24" s="471"/>
      <c r="H24" s="471"/>
      <c r="N24" s="382" t="s">
        <v>20</v>
      </c>
      <c r="O24" s="382"/>
      <c r="P24" s="382"/>
    </row>
    <row r="25" spans="1:16" ht="15" customHeight="1" x14ac:dyDescent="0.2">
      <c r="B25" s="31"/>
      <c r="K25" s="382"/>
      <c r="L25" s="382"/>
      <c r="M25" s="382"/>
      <c r="N25" s="382"/>
    </row>
    <row r="26" spans="1:16" x14ac:dyDescent="0.2">
      <c r="K26" s="382" t="s">
        <v>67</v>
      </c>
      <c r="L26" s="382"/>
      <c r="M26" s="382"/>
      <c r="N26" s="9"/>
      <c r="O26" s="9"/>
      <c r="P26" s="9"/>
    </row>
    <row r="27" spans="1:16" x14ac:dyDescent="0.2">
      <c r="K27" s="382"/>
      <c r="L27" s="382"/>
      <c r="M27" s="382"/>
      <c r="N27" s="9"/>
      <c r="O27" s="9"/>
      <c r="P27" s="9"/>
    </row>
    <row r="28" spans="1:16" x14ac:dyDescent="0.2">
      <c r="M28" s="9"/>
    </row>
    <row r="29" spans="1:16" x14ac:dyDescent="0.2">
      <c r="M29" s="9"/>
    </row>
    <row r="30" spans="1:16" x14ac:dyDescent="0.2">
      <c r="D30" s="382"/>
      <c r="E30" s="382"/>
      <c r="F30" s="382"/>
      <c r="G30" s="382"/>
      <c r="H30" s="382"/>
      <c r="I30" s="382"/>
      <c r="N30" s="382" t="s">
        <v>21</v>
      </c>
      <c r="O30" s="382"/>
      <c r="P30" s="382"/>
    </row>
    <row r="31" spans="1:16" x14ac:dyDescent="0.2">
      <c r="D31" s="382"/>
      <c r="E31" s="382"/>
      <c r="F31" s="382"/>
      <c r="G31" s="382"/>
      <c r="H31" s="382"/>
      <c r="I31" s="382"/>
      <c r="N31" s="382" t="s">
        <v>22</v>
      </c>
      <c r="O31" s="382"/>
      <c r="P31" s="382"/>
    </row>
    <row r="32" spans="1:16" x14ac:dyDescent="0.2">
      <c r="K32" s="382" t="s">
        <v>21</v>
      </c>
      <c r="L32" s="382"/>
      <c r="M32" s="382"/>
    </row>
    <row r="33" spans="11:13" x14ac:dyDescent="0.2">
      <c r="K33" s="382" t="s">
        <v>22</v>
      </c>
      <c r="L33" s="382"/>
      <c r="M33" s="382"/>
    </row>
  </sheetData>
  <mergeCells count="28">
    <mergeCell ref="B23:C23"/>
    <mergeCell ref="D23:I23"/>
    <mergeCell ref="K23:N23"/>
    <mergeCell ref="K33:M33"/>
    <mergeCell ref="B24:C24"/>
    <mergeCell ref="D24:H24"/>
    <mergeCell ref="N24:P24"/>
    <mergeCell ref="K25:N25"/>
    <mergeCell ref="K26:M26"/>
    <mergeCell ref="K27:M27"/>
    <mergeCell ref="D30:I30"/>
    <mergeCell ref="N30:P30"/>
    <mergeCell ref="D31:I31"/>
    <mergeCell ref="N31:P31"/>
    <mergeCell ref="K32:M32"/>
    <mergeCell ref="A2:P2"/>
    <mergeCell ref="A3:P3"/>
    <mergeCell ref="A4:P4"/>
    <mergeCell ref="B5:I5"/>
    <mergeCell ref="A6:A7"/>
    <mergeCell ref="B6:F6"/>
    <mergeCell ref="G6:I6"/>
    <mergeCell ref="J6:K6"/>
    <mergeCell ref="L6:L7"/>
    <mergeCell ref="M6:M7"/>
    <mergeCell ref="N6:N7"/>
    <mergeCell ref="O6:O7"/>
    <mergeCell ref="P6:P7"/>
  </mergeCells>
  <pageMargins left="0.7" right="0.2" top="0.75" bottom="0.75" header="0.3" footer="0.3"/>
  <pageSetup scale="7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R34"/>
  <sheetViews>
    <sheetView topLeftCell="D1" zoomScaleNormal="100" workbookViewId="0">
      <selection activeCell="C28" sqref="A28:K29"/>
    </sheetView>
  </sheetViews>
  <sheetFormatPr defaultColWidth="9.140625" defaultRowHeight="12.75" x14ac:dyDescent="0.2"/>
  <cols>
    <col min="1" max="1" width="4" style="1" customWidth="1"/>
    <col min="2" max="3" width="11.28515625" style="1" customWidth="1"/>
    <col min="4" max="4" width="28.42578125" style="15" bestFit="1" customWidth="1"/>
    <col min="5" max="5" width="11" style="15" bestFit="1" customWidth="1"/>
    <col min="6" max="6" width="10.7109375" style="15" bestFit="1" customWidth="1"/>
    <col min="7" max="7" width="8.85546875" style="9" bestFit="1" customWidth="1"/>
    <col min="8" max="9" width="10.140625" style="1" customWidth="1"/>
    <col min="10" max="10" width="11.28515625" style="1" customWidth="1"/>
    <col min="11" max="11" width="8.7109375" style="1" bestFit="1" customWidth="1"/>
    <col min="12" max="12" width="12.85546875" style="1" bestFit="1" customWidth="1"/>
    <col min="13" max="14" width="11.28515625" style="1" customWidth="1"/>
    <col min="15" max="15" width="17" style="1" customWidth="1"/>
    <col min="16" max="16" width="13.140625" style="1" hidden="1" customWidth="1"/>
    <col min="17" max="17" width="14" style="1" hidden="1" customWidth="1"/>
    <col min="18" max="18" width="13.140625" style="1" hidden="1" customWidth="1"/>
    <col min="19" max="16384" width="9.140625" style="1"/>
  </cols>
  <sheetData>
    <row r="2" spans="1:18" x14ac:dyDescent="0.2">
      <c r="A2" s="374" t="s">
        <v>23</v>
      </c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  <c r="R2" s="374"/>
    </row>
    <row r="3" spans="1:18" x14ac:dyDescent="0.2">
      <c r="A3" s="374" t="s">
        <v>88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</row>
    <row r="4" spans="1:18" x14ac:dyDescent="0.2">
      <c r="A4" s="374" t="s">
        <v>89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4"/>
      <c r="Q4" s="374"/>
      <c r="R4" s="374"/>
    </row>
    <row r="5" spans="1:18" x14ac:dyDescent="0.2">
      <c r="B5" s="374"/>
      <c r="C5" s="374"/>
      <c r="D5" s="374"/>
      <c r="E5" s="374"/>
      <c r="F5" s="374"/>
      <c r="G5" s="374"/>
      <c r="H5" s="374"/>
      <c r="I5" s="374"/>
      <c r="J5" s="374"/>
      <c r="K5" s="374"/>
    </row>
    <row r="6" spans="1:18" x14ac:dyDescent="0.2">
      <c r="A6" s="375" t="s">
        <v>27</v>
      </c>
      <c r="B6" s="469" t="s">
        <v>64</v>
      </c>
      <c r="C6" s="378"/>
      <c r="D6" s="377" t="s">
        <v>28</v>
      </c>
      <c r="E6" s="377"/>
      <c r="F6" s="377"/>
      <c r="G6" s="378"/>
      <c r="H6" s="377" t="s">
        <v>0</v>
      </c>
      <c r="I6" s="377"/>
      <c r="J6" s="377"/>
      <c r="K6" s="378"/>
      <c r="L6" s="469" t="s">
        <v>29</v>
      </c>
      <c r="M6" s="378"/>
      <c r="N6" s="379" t="s">
        <v>34</v>
      </c>
      <c r="O6" s="379" t="s">
        <v>111</v>
      </c>
      <c r="P6" s="379" t="s">
        <v>39</v>
      </c>
      <c r="Q6" s="379" t="s">
        <v>24</v>
      </c>
      <c r="R6" s="379" t="s">
        <v>25</v>
      </c>
    </row>
    <row r="7" spans="1:18" ht="25.5" x14ac:dyDescent="0.2">
      <c r="A7" s="376"/>
      <c r="B7" s="14" t="s">
        <v>1</v>
      </c>
      <c r="C7" s="10" t="s">
        <v>2</v>
      </c>
      <c r="D7" s="10" t="s">
        <v>2</v>
      </c>
      <c r="E7" s="30" t="s">
        <v>3</v>
      </c>
      <c r="F7" s="30" t="s">
        <v>74</v>
      </c>
      <c r="G7" s="2" t="s">
        <v>4</v>
      </c>
      <c r="H7" s="2" t="s">
        <v>5</v>
      </c>
      <c r="I7" s="2" t="s">
        <v>142</v>
      </c>
      <c r="J7" s="2" t="s">
        <v>61</v>
      </c>
      <c r="K7" s="10" t="s">
        <v>6</v>
      </c>
      <c r="L7" s="30" t="s">
        <v>3</v>
      </c>
      <c r="M7" s="10" t="s">
        <v>7</v>
      </c>
      <c r="N7" s="380"/>
      <c r="O7" s="380"/>
      <c r="P7" s="380"/>
      <c r="Q7" s="380"/>
      <c r="R7" s="380"/>
    </row>
    <row r="8" spans="1:18" s="6" customFormat="1" ht="11.25" x14ac:dyDescent="0.2">
      <c r="A8" s="28">
        <v>1</v>
      </c>
      <c r="B8" s="3">
        <v>2</v>
      </c>
      <c r="C8" s="4">
        <v>3</v>
      </c>
      <c r="D8" s="25">
        <v>4</v>
      </c>
      <c r="E8" s="3">
        <v>5</v>
      </c>
      <c r="F8" s="3">
        <v>6</v>
      </c>
      <c r="G8" s="3">
        <v>7</v>
      </c>
      <c r="H8" s="16">
        <v>8</v>
      </c>
      <c r="I8" s="16">
        <v>9</v>
      </c>
      <c r="J8" s="3">
        <v>10</v>
      </c>
      <c r="K8" s="16">
        <v>11</v>
      </c>
      <c r="L8" s="16">
        <v>12</v>
      </c>
      <c r="M8" s="3">
        <v>13</v>
      </c>
      <c r="N8" s="16">
        <v>14</v>
      </c>
      <c r="O8" s="16">
        <v>15</v>
      </c>
      <c r="P8" s="5">
        <v>14</v>
      </c>
      <c r="Q8" s="4">
        <v>15</v>
      </c>
      <c r="R8" s="4">
        <v>16</v>
      </c>
    </row>
    <row r="9" spans="1:18" x14ac:dyDescent="0.2">
      <c r="A9" s="14" t="s">
        <v>37</v>
      </c>
      <c r="B9" s="473" t="s">
        <v>36</v>
      </c>
      <c r="C9" s="474"/>
      <c r="D9" s="474"/>
      <c r="E9" s="90"/>
      <c r="F9" s="90"/>
      <c r="G9" s="90"/>
      <c r="H9" s="90"/>
      <c r="I9" s="90"/>
      <c r="J9" s="90"/>
      <c r="K9" s="90"/>
      <c r="L9" s="90"/>
      <c r="M9" s="90"/>
      <c r="N9" s="90"/>
      <c r="O9" s="91"/>
      <c r="P9" s="7"/>
      <c r="Q9" s="7"/>
      <c r="R9" s="7"/>
    </row>
    <row r="10" spans="1:18" s="12" customFormat="1" x14ac:dyDescent="0.2">
      <c r="A10" s="62">
        <v>1</v>
      </c>
      <c r="B10" s="85" t="s">
        <v>60</v>
      </c>
      <c r="C10" s="85" t="s">
        <v>90</v>
      </c>
      <c r="D10" s="88" t="s">
        <v>92</v>
      </c>
      <c r="E10" s="64" t="s">
        <v>50</v>
      </c>
      <c r="F10" s="64" t="s">
        <v>78</v>
      </c>
      <c r="G10" s="62" t="s">
        <v>52</v>
      </c>
      <c r="H10" s="65" t="s">
        <v>77</v>
      </c>
      <c r="I10" s="65" t="s">
        <v>77</v>
      </c>
      <c r="J10" s="65" t="s">
        <v>77</v>
      </c>
      <c r="K10" s="65" t="s">
        <v>77</v>
      </c>
      <c r="L10" s="62" t="s">
        <v>66</v>
      </c>
      <c r="M10" s="62" t="s">
        <v>95</v>
      </c>
      <c r="N10" s="62" t="s">
        <v>95</v>
      </c>
      <c r="O10" s="67" t="s">
        <v>77</v>
      </c>
      <c r="P10" s="11"/>
      <c r="Q10" s="11"/>
      <c r="R10" s="11"/>
    </row>
    <row r="11" spans="1:18" x14ac:dyDescent="0.2">
      <c r="A11" s="40"/>
      <c r="B11" s="86"/>
      <c r="C11" s="86"/>
      <c r="D11" s="89"/>
      <c r="E11" s="47"/>
      <c r="F11" s="47"/>
      <c r="G11" s="40"/>
      <c r="H11" s="42"/>
      <c r="I11" s="42"/>
      <c r="J11" s="42"/>
      <c r="K11" s="42"/>
      <c r="L11" s="40"/>
      <c r="M11" s="40"/>
      <c r="N11" s="40"/>
      <c r="O11" s="44"/>
      <c r="P11" s="7"/>
      <c r="Q11" s="7"/>
      <c r="R11" s="7"/>
    </row>
    <row r="12" spans="1:18" x14ac:dyDescent="0.2">
      <c r="A12" s="40">
        <v>2</v>
      </c>
      <c r="B12" s="86" t="s">
        <v>60</v>
      </c>
      <c r="C12" s="86" t="s">
        <v>91</v>
      </c>
      <c r="D12" s="89" t="s">
        <v>93</v>
      </c>
      <c r="E12" s="47" t="s">
        <v>50</v>
      </c>
      <c r="F12" s="47" t="s">
        <v>78</v>
      </c>
      <c r="G12" s="40" t="s">
        <v>52</v>
      </c>
      <c r="H12" s="65" t="s">
        <v>77</v>
      </c>
      <c r="I12" s="65" t="s">
        <v>77</v>
      </c>
      <c r="J12" s="65" t="s">
        <v>77</v>
      </c>
      <c r="K12" s="65" t="s">
        <v>77</v>
      </c>
      <c r="L12" s="62" t="s">
        <v>66</v>
      </c>
      <c r="M12" s="62" t="s">
        <v>95</v>
      </c>
      <c r="N12" s="62" t="s">
        <v>95</v>
      </c>
      <c r="O12" s="67" t="s">
        <v>77</v>
      </c>
      <c r="P12" s="7"/>
      <c r="Q12" s="7"/>
      <c r="R12" s="7"/>
    </row>
    <row r="13" spans="1:18" x14ac:dyDescent="0.2">
      <c r="A13" s="40" t="s">
        <v>85</v>
      </c>
      <c r="B13" s="86"/>
      <c r="C13" s="40"/>
      <c r="D13" s="89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4"/>
      <c r="P13" s="7"/>
      <c r="Q13" s="7"/>
      <c r="R13" s="7"/>
    </row>
    <row r="14" spans="1:18" x14ac:dyDescent="0.2">
      <c r="A14" s="40"/>
      <c r="B14" s="86"/>
      <c r="C14" s="40"/>
      <c r="D14" s="89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4"/>
      <c r="P14" s="7"/>
      <c r="Q14" s="7"/>
      <c r="R14" s="7"/>
    </row>
    <row r="15" spans="1:18" x14ac:dyDescent="0.2">
      <c r="A15" s="49"/>
      <c r="B15" s="87"/>
      <c r="C15" s="49"/>
      <c r="D15" s="83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7"/>
      <c r="Q15" s="7"/>
      <c r="R15" s="7"/>
    </row>
    <row r="16" spans="1:18" s="20" customFormat="1" ht="12.75" customHeight="1" x14ac:dyDescent="0.25">
      <c r="A16" s="14" t="s">
        <v>38</v>
      </c>
      <c r="B16" s="383" t="s">
        <v>87</v>
      </c>
      <c r="C16" s="384"/>
      <c r="D16" s="384"/>
      <c r="E16" s="384"/>
      <c r="F16" s="384"/>
      <c r="G16" s="384"/>
      <c r="H16" s="384"/>
      <c r="I16" s="384"/>
      <c r="J16" s="384"/>
      <c r="K16" s="384"/>
      <c r="L16" s="384"/>
      <c r="M16" s="384"/>
      <c r="N16" s="384"/>
      <c r="O16" s="472"/>
      <c r="P16" s="19"/>
      <c r="Q16" s="19"/>
      <c r="R16" s="19"/>
    </row>
    <row r="17" spans="1:18" x14ac:dyDescent="0.2">
      <c r="A17" s="40">
        <v>1</v>
      </c>
      <c r="B17" s="19" t="s">
        <v>60</v>
      </c>
      <c r="C17" s="19" t="s">
        <v>90</v>
      </c>
      <c r="D17" s="26" t="s">
        <v>108</v>
      </c>
      <c r="E17" s="47" t="s">
        <v>50</v>
      </c>
      <c r="F17" s="47" t="s">
        <v>78</v>
      </c>
      <c r="G17" s="40" t="s">
        <v>52</v>
      </c>
      <c r="H17" s="47" t="s">
        <v>33</v>
      </c>
      <c r="I17" s="47" t="s">
        <v>33</v>
      </c>
      <c r="J17" s="47" t="s">
        <v>33</v>
      </c>
      <c r="K17" s="47" t="s">
        <v>33</v>
      </c>
      <c r="L17" s="62" t="s">
        <v>66</v>
      </c>
      <c r="M17" s="62" t="s">
        <v>95</v>
      </c>
      <c r="N17" s="62" t="s">
        <v>95</v>
      </c>
      <c r="O17" s="44" t="s">
        <v>77</v>
      </c>
      <c r="P17" s="7"/>
      <c r="Q17" s="7"/>
      <c r="R17" s="7"/>
    </row>
    <row r="18" spans="1:18" x14ac:dyDescent="0.2">
      <c r="A18" s="40"/>
      <c r="B18" s="19"/>
      <c r="C18" s="19"/>
      <c r="D18" s="26"/>
      <c r="E18" s="47"/>
      <c r="F18" s="47"/>
      <c r="G18" s="40"/>
      <c r="H18" s="47"/>
      <c r="I18" s="47"/>
      <c r="J18" s="47"/>
      <c r="K18" s="47"/>
      <c r="L18" s="40"/>
      <c r="M18" s="40"/>
      <c r="N18" s="40"/>
      <c r="O18" s="44"/>
      <c r="P18" s="7"/>
      <c r="Q18" s="7"/>
      <c r="R18" s="7"/>
    </row>
    <row r="19" spans="1:18" x14ac:dyDescent="0.2">
      <c r="A19" s="40">
        <v>2</v>
      </c>
      <c r="B19" s="19" t="s">
        <v>60</v>
      </c>
      <c r="C19" s="19" t="s">
        <v>91</v>
      </c>
      <c r="D19" s="26" t="s">
        <v>108</v>
      </c>
      <c r="E19" s="47" t="s">
        <v>50</v>
      </c>
      <c r="F19" s="47" t="s">
        <v>78</v>
      </c>
      <c r="G19" s="40" t="s">
        <v>52</v>
      </c>
      <c r="H19" s="47" t="s">
        <v>33</v>
      </c>
      <c r="I19" s="47" t="s">
        <v>33</v>
      </c>
      <c r="J19" s="47" t="s">
        <v>33</v>
      </c>
      <c r="K19" s="47" t="s">
        <v>33</v>
      </c>
      <c r="L19" s="40" t="s">
        <v>66</v>
      </c>
      <c r="M19" s="40" t="s">
        <v>95</v>
      </c>
      <c r="N19" s="40" t="s">
        <v>95</v>
      </c>
      <c r="O19" s="44" t="s">
        <v>77</v>
      </c>
      <c r="P19" s="7"/>
      <c r="Q19" s="7"/>
      <c r="R19" s="7"/>
    </row>
    <row r="20" spans="1:18" x14ac:dyDescent="0.2">
      <c r="A20" s="40" t="s">
        <v>85</v>
      </c>
      <c r="B20" s="19"/>
      <c r="C20" s="19"/>
      <c r="D20" s="26"/>
      <c r="E20" s="19"/>
      <c r="F20" s="19"/>
      <c r="G20" s="40"/>
      <c r="H20" s="40"/>
      <c r="I20" s="40"/>
      <c r="J20" s="40"/>
      <c r="K20" s="40"/>
      <c r="L20" s="40"/>
      <c r="M20" s="19"/>
      <c r="N20" s="19"/>
      <c r="O20" s="19"/>
      <c r="P20" s="7"/>
      <c r="Q20" s="7"/>
      <c r="R20" s="7"/>
    </row>
    <row r="21" spans="1:18" x14ac:dyDescent="0.2">
      <c r="A21" s="40"/>
      <c r="B21" s="19"/>
      <c r="C21" s="19"/>
      <c r="D21" s="26"/>
      <c r="E21" s="19"/>
      <c r="F21" s="19"/>
      <c r="G21" s="40"/>
      <c r="H21" s="40"/>
      <c r="I21" s="40"/>
      <c r="J21" s="40"/>
      <c r="K21" s="40"/>
      <c r="L21" s="40"/>
      <c r="M21" s="19"/>
      <c r="N21" s="19"/>
      <c r="O21" s="19"/>
      <c r="P21" s="7"/>
      <c r="Q21" s="7"/>
      <c r="R21" s="7"/>
    </row>
    <row r="22" spans="1:18" s="20" customFormat="1" ht="18" customHeight="1" x14ac:dyDescent="0.25">
      <c r="A22" s="47" t="s">
        <v>8</v>
      </c>
      <c r="B22" s="47" t="s">
        <v>9</v>
      </c>
      <c r="C22" s="47" t="s">
        <v>10</v>
      </c>
      <c r="D22" s="47" t="s">
        <v>11</v>
      </c>
      <c r="E22" s="47" t="s">
        <v>12</v>
      </c>
      <c r="F22" s="47" t="s">
        <v>13</v>
      </c>
      <c r="G22" s="47" t="s">
        <v>14</v>
      </c>
      <c r="H22" s="48" t="s">
        <v>15</v>
      </c>
      <c r="I22" s="47" t="s">
        <v>16</v>
      </c>
      <c r="J22" s="47" t="s">
        <v>17</v>
      </c>
      <c r="K22" s="47" t="s">
        <v>18</v>
      </c>
      <c r="L22" s="47" t="s">
        <v>19</v>
      </c>
      <c r="M22" s="47" t="s">
        <v>31</v>
      </c>
      <c r="N22" s="47" t="s">
        <v>32</v>
      </c>
      <c r="O22" s="47" t="s">
        <v>150</v>
      </c>
      <c r="P22" s="47" t="s">
        <v>19</v>
      </c>
      <c r="Q22" s="19"/>
      <c r="R22" s="19"/>
    </row>
    <row r="23" spans="1:18" x14ac:dyDescent="0.2">
      <c r="A23" s="49"/>
      <c r="B23" s="23"/>
      <c r="C23" s="23"/>
      <c r="D23" s="84"/>
      <c r="E23" s="84"/>
      <c r="F23" s="84"/>
      <c r="G23" s="49"/>
      <c r="H23" s="23"/>
      <c r="I23" s="23"/>
      <c r="J23" s="23"/>
      <c r="K23" s="23"/>
      <c r="L23" s="23"/>
      <c r="M23" s="23"/>
      <c r="N23" s="23"/>
      <c r="O23" s="23"/>
      <c r="P23" s="7"/>
      <c r="Q23" s="7"/>
      <c r="R23" s="7"/>
    </row>
    <row r="24" spans="1:18" ht="12.75" customHeight="1" x14ac:dyDescent="0.2">
      <c r="A24" s="77"/>
      <c r="B24" s="73"/>
      <c r="C24" s="469" t="s">
        <v>151</v>
      </c>
      <c r="D24" s="378"/>
      <c r="E24" s="27"/>
      <c r="F24" s="27"/>
      <c r="G24" s="53"/>
      <c r="H24" s="72"/>
      <c r="I24" s="72"/>
      <c r="J24" s="73"/>
      <c r="K24" s="78"/>
      <c r="L24" s="73"/>
      <c r="M24" s="78"/>
      <c r="N24" s="78"/>
      <c r="O24" s="78"/>
      <c r="P24" s="8"/>
      <c r="Q24" s="8"/>
      <c r="R24" s="8"/>
    </row>
    <row r="26" spans="1:18" x14ac:dyDescent="0.2">
      <c r="B26" s="382"/>
      <c r="C26" s="382"/>
      <c r="D26" s="382"/>
      <c r="E26" s="382"/>
      <c r="F26" s="382"/>
      <c r="G26" s="382"/>
      <c r="H26" s="382"/>
      <c r="I26" s="382"/>
      <c r="J26" s="382"/>
      <c r="K26" s="382"/>
      <c r="M26" s="382"/>
      <c r="N26" s="382"/>
      <c r="O26" s="382"/>
      <c r="P26" s="382"/>
    </row>
    <row r="27" spans="1:18" x14ac:dyDescent="0.2">
      <c r="B27" s="382"/>
      <c r="C27" s="382"/>
      <c r="D27" s="382"/>
      <c r="E27" s="382"/>
      <c r="F27" s="382"/>
      <c r="G27" s="382"/>
      <c r="H27" s="382"/>
      <c r="I27" s="382"/>
      <c r="J27" s="382"/>
      <c r="P27" s="382" t="s">
        <v>20</v>
      </c>
      <c r="Q27" s="382"/>
      <c r="R27" s="382"/>
    </row>
    <row r="28" spans="1:18" x14ac:dyDescent="0.2">
      <c r="L28" s="382" t="s">
        <v>96</v>
      </c>
      <c r="M28" s="382"/>
      <c r="N28" s="382"/>
      <c r="O28" s="382"/>
    </row>
    <row r="29" spans="1:18" x14ac:dyDescent="0.2">
      <c r="O29" s="9"/>
      <c r="P29" s="9"/>
      <c r="Q29" s="9"/>
      <c r="R29" s="9"/>
    </row>
    <row r="30" spans="1:18" x14ac:dyDescent="0.2">
      <c r="O30" s="9"/>
      <c r="P30" s="9"/>
      <c r="Q30" s="9"/>
      <c r="R30" s="9"/>
    </row>
    <row r="33" spans="3:18" x14ac:dyDescent="0.2">
      <c r="C33" s="9"/>
      <c r="D33" s="382"/>
      <c r="E33" s="382"/>
      <c r="F33" s="382"/>
      <c r="G33" s="382"/>
      <c r="H33" s="382"/>
      <c r="I33" s="382"/>
      <c r="J33" s="382"/>
      <c r="K33" s="382"/>
      <c r="L33" s="382" t="s">
        <v>21</v>
      </c>
      <c r="M33" s="382"/>
      <c r="N33" s="382"/>
      <c r="O33" s="382"/>
      <c r="P33" s="382" t="s">
        <v>21</v>
      </c>
      <c r="Q33" s="382"/>
      <c r="R33" s="382"/>
    </row>
    <row r="34" spans="3:18" x14ac:dyDescent="0.2">
      <c r="C34" s="9"/>
      <c r="D34" s="382"/>
      <c r="E34" s="382"/>
      <c r="F34" s="382"/>
      <c r="G34" s="382"/>
      <c r="H34" s="382"/>
      <c r="I34" s="382"/>
      <c r="J34" s="382"/>
      <c r="K34" s="382"/>
      <c r="L34" s="382" t="s">
        <v>22</v>
      </c>
      <c r="M34" s="382"/>
      <c r="N34" s="382"/>
      <c r="O34" s="382"/>
      <c r="P34" s="382" t="s">
        <v>22</v>
      </c>
      <c r="Q34" s="382"/>
      <c r="R34" s="382"/>
    </row>
  </sheetData>
  <mergeCells count="30">
    <mergeCell ref="L28:O28"/>
    <mergeCell ref="D33:K33"/>
    <mergeCell ref="L33:O33"/>
    <mergeCell ref="P33:R33"/>
    <mergeCell ref="D34:K34"/>
    <mergeCell ref="L34:O34"/>
    <mergeCell ref="P34:R34"/>
    <mergeCell ref="C24:D24"/>
    <mergeCell ref="B26:C26"/>
    <mergeCell ref="D26:K26"/>
    <mergeCell ref="M26:P26"/>
    <mergeCell ref="B27:C27"/>
    <mergeCell ref="D27:J27"/>
    <mergeCell ref="P27:R27"/>
    <mergeCell ref="B16:O16"/>
    <mergeCell ref="A2:R2"/>
    <mergeCell ref="A3:R3"/>
    <mergeCell ref="A4:R4"/>
    <mergeCell ref="B5:K5"/>
    <mergeCell ref="A6:A7"/>
    <mergeCell ref="B6:C6"/>
    <mergeCell ref="D6:G6"/>
    <mergeCell ref="H6:K6"/>
    <mergeCell ref="L6:M6"/>
    <mergeCell ref="N6:N7"/>
    <mergeCell ref="O6:O7"/>
    <mergeCell ref="P6:P7"/>
    <mergeCell ref="Q6:Q7"/>
    <mergeCell ref="R6:R7"/>
    <mergeCell ref="B9:D9"/>
  </mergeCells>
  <pageMargins left="0.7" right="0.2" top="0.75" bottom="0.75" header="0.3" footer="0.3"/>
  <pageSetup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T67"/>
  <sheetViews>
    <sheetView zoomScale="90" zoomScaleNormal="90" workbookViewId="0">
      <selection activeCell="C28" sqref="A28:K29"/>
    </sheetView>
  </sheetViews>
  <sheetFormatPr defaultColWidth="9.140625" defaultRowHeight="12.75" x14ac:dyDescent="0.2"/>
  <cols>
    <col min="1" max="1" width="5.7109375" style="9" customWidth="1"/>
    <col min="2" max="2" width="28" style="1" bestFit="1" customWidth="1"/>
    <col min="3" max="3" width="23.140625" style="1" customWidth="1"/>
    <col min="4" max="4" width="18.140625" style="1" customWidth="1"/>
    <col min="5" max="5" width="12.140625" style="1" bestFit="1" customWidth="1"/>
    <col min="6" max="6" width="10.7109375" style="1" bestFit="1" customWidth="1"/>
    <col min="7" max="7" width="8.85546875" style="1" bestFit="1" customWidth="1"/>
    <col min="8" max="8" width="9.28515625" style="1" bestFit="1" customWidth="1"/>
    <col min="9" max="9" width="9.28515625" style="1" customWidth="1"/>
    <col min="10" max="10" width="11" style="1" bestFit="1" customWidth="1"/>
    <col min="11" max="11" width="8.7109375" style="1" bestFit="1" customWidth="1"/>
    <col min="12" max="12" width="12.85546875" style="1" bestFit="1" customWidth="1"/>
    <col min="13" max="13" width="12.7109375" style="1" customWidth="1"/>
    <col min="14" max="14" width="13" style="1" customWidth="1"/>
    <col min="15" max="15" width="16.140625" style="1" customWidth="1"/>
    <col min="16" max="20" width="0" style="1" hidden="1" customWidth="1"/>
    <col min="21" max="16384" width="9.140625" style="1"/>
  </cols>
  <sheetData>
    <row r="2" spans="1:15" x14ac:dyDescent="0.2">
      <c r="A2" s="374" t="s">
        <v>23</v>
      </c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</row>
    <row r="3" spans="1:15" x14ac:dyDescent="0.2">
      <c r="A3" s="374" t="s">
        <v>97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</row>
    <row r="4" spans="1:15" x14ac:dyDescent="0.2">
      <c r="A4" s="374" t="s">
        <v>98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</row>
    <row r="5" spans="1:15" ht="21.75" customHeight="1" x14ac:dyDescent="0.2">
      <c r="A5" s="374"/>
      <c r="B5" s="374"/>
      <c r="C5" s="374"/>
      <c r="D5" s="374"/>
      <c r="E5" s="374"/>
      <c r="F5" s="374"/>
      <c r="G5" s="374"/>
      <c r="H5" s="374"/>
      <c r="I5" s="374"/>
      <c r="J5" s="374"/>
      <c r="K5" s="374"/>
    </row>
    <row r="6" spans="1:15" ht="24.75" customHeight="1" x14ac:dyDescent="0.2">
      <c r="A6" s="386" t="s">
        <v>27</v>
      </c>
      <c r="B6" s="475" t="s">
        <v>64</v>
      </c>
      <c r="C6" s="475"/>
      <c r="D6" s="475" t="s">
        <v>28</v>
      </c>
      <c r="E6" s="475"/>
      <c r="F6" s="475"/>
      <c r="G6" s="475"/>
      <c r="H6" s="475" t="s">
        <v>0</v>
      </c>
      <c r="I6" s="475"/>
      <c r="J6" s="475"/>
      <c r="K6" s="475"/>
      <c r="L6" s="475" t="s">
        <v>29</v>
      </c>
      <c r="M6" s="475"/>
      <c r="N6" s="379" t="s">
        <v>34</v>
      </c>
      <c r="O6" s="379" t="s">
        <v>111</v>
      </c>
    </row>
    <row r="7" spans="1:15" ht="25.5" x14ac:dyDescent="0.2">
      <c r="A7" s="387"/>
      <c r="B7" s="92" t="s">
        <v>1</v>
      </c>
      <c r="C7" s="10" t="s">
        <v>2</v>
      </c>
      <c r="D7" s="10" t="s">
        <v>2</v>
      </c>
      <c r="E7" s="10" t="s">
        <v>3</v>
      </c>
      <c r="F7" s="10" t="s">
        <v>74</v>
      </c>
      <c r="G7" s="10" t="s">
        <v>4</v>
      </c>
      <c r="H7" s="10" t="s">
        <v>51</v>
      </c>
      <c r="I7" s="10" t="s">
        <v>142</v>
      </c>
      <c r="J7" s="10" t="s">
        <v>61</v>
      </c>
      <c r="K7" s="10" t="s">
        <v>6</v>
      </c>
      <c r="L7" s="92" t="s">
        <v>3</v>
      </c>
      <c r="M7" s="10" t="s">
        <v>7</v>
      </c>
      <c r="N7" s="380"/>
      <c r="O7" s="380"/>
    </row>
    <row r="8" spans="1:15" s="6" customFormat="1" ht="11.25" x14ac:dyDescent="0.2">
      <c r="A8" s="50">
        <v>1</v>
      </c>
      <c r="B8" s="35">
        <v>2</v>
      </c>
      <c r="C8" s="35">
        <v>3</v>
      </c>
      <c r="D8" s="35">
        <v>4</v>
      </c>
      <c r="E8" s="35">
        <v>5</v>
      </c>
      <c r="F8" s="35">
        <v>6</v>
      </c>
      <c r="G8" s="34" t="s">
        <v>44</v>
      </c>
      <c r="H8" s="34" t="s">
        <v>45</v>
      </c>
      <c r="I8" s="34" t="s">
        <v>46</v>
      </c>
      <c r="J8" s="34" t="s">
        <v>47</v>
      </c>
      <c r="K8" s="34" t="s">
        <v>48</v>
      </c>
      <c r="L8" s="34" t="s">
        <v>62</v>
      </c>
      <c r="M8" s="34" t="s">
        <v>63</v>
      </c>
      <c r="N8" s="34">
        <v>14</v>
      </c>
      <c r="O8" s="34">
        <v>15</v>
      </c>
    </row>
    <row r="9" spans="1:15" ht="18" customHeight="1" x14ac:dyDescent="0.2">
      <c r="A9" s="93" t="s">
        <v>37</v>
      </c>
      <c r="B9" s="476" t="s">
        <v>36</v>
      </c>
      <c r="C9" s="477"/>
      <c r="D9" s="477"/>
      <c r="E9" s="477"/>
      <c r="F9" s="477"/>
      <c r="G9" s="477"/>
      <c r="H9" s="477"/>
      <c r="I9" s="477"/>
      <c r="J9" s="477"/>
      <c r="K9" s="477"/>
      <c r="L9" s="477"/>
      <c r="M9" s="477"/>
      <c r="N9" s="477"/>
      <c r="O9" s="478"/>
    </row>
    <row r="10" spans="1:15" ht="18" customHeight="1" x14ac:dyDescent="0.2">
      <c r="A10" s="79">
        <v>1</v>
      </c>
      <c r="B10" s="78" t="s">
        <v>99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</row>
    <row r="11" spans="1:15" ht="18" customHeight="1" x14ac:dyDescent="0.2">
      <c r="A11" s="79" t="s">
        <v>55</v>
      </c>
      <c r="B11" s="78" t="s">
        <v>60</v>
      </c>
      <c r="C11" s="95" t="s">
        <v>90</v>
      </c>
      <c r="D11" s="96" t="s">
        <v>92</v>
      </c>
      <c r="E11" s="79" t="s">
        <v>50</v>
      </c>
      <c r="F11" s="79" t="s">
        <v>78</v>
      </c>
      <c r="G11" s="53" t="s">
        <v>52</v>
      </c>
      <c r="H11" s="80" t="s">
        <v>77</v>
      </c>
      <c r="I11" s="80" t="s">
        <v>77</v>
      </c>
      <c r="J11" s="81" t="s">
        <v>77</v>
      </c>
      <c r="K11" s="80" t="s">
        <v>77</v>
      </c>
      <c r="L11" s="53" t="s">
        <v>66</v>
      </c>
      <c r="M11" s="53" t="s">
        <v>95</v>
      </c>
      <c r="N11" s="53" t="s">
        <v>95</v>
      </c>
      <c r="O11" s="82" t="s">
        <v>77</v>
      </c>
    </row>
    <row r="12" spans="1:15" ht="18" customHeight="1" x14ac:dyDescent="0.2">
      <c r="A12" s="79" t="s">
        <v>56</v>
      </c>
      <c r="B12" s="78" t="s">
        <v>60</v>
      </c>
      <c r="C12" s="95" t="s">
        <v>91</v>
      </c>
      <c r="D12" s="96" t="s">
        <v>93</v>
      </c>
      <c r="E12" s="79" t="s">
        <v>50</v>
      </c>
      <c r="F12" s="79" t="s">
        <v>78</v>
      </c>
      <c r="G12" s="53" t="s">
        <v>52</v>
      </c>
      <c r="H12" s="80" t="s">
        <v>77</v>
      </c>
      <c r="I12" s="80" t="s">
        <v>77</v>
      </c>
      <c r="J12" s="81" t="s">
        <v>77</v>
      </c>
      <c r="K12" s="80" t="s">
        <v>77</v>
      </c>
      <c r="L12" s="53" t="s">
        <v>66</v>
      </c>
      <c r="M12" s="53" t="s">
        <v>95</v>
      </c>
      <c r="N12" s="53" t="s">
        <v>95</v>
      </c>
      <c r="O12" s="82" t="s">
        <v>77</v>
      </c>
    </row>
    <row r="13" spans="1:15" ht="18" customHeight="1" x14ac:dyDescent="0.2">
      <c r="A13" s="79">
        <v>2</v>
      </c>
      <c r="B13" s="78" t="s">
        <v>59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</row>
    <row r="14" spans="1:15" ht="18" customHeight="1" x14ac:dyDescent="0.2">
      <c r="A14" s="79" t="s">
        <v>55</v>
      </c>
      <c r="B14" s="78" t="s">
        <v>60</v>
      </c>
      <c r="C14" s="97" t="s">
        <v>100</v>
      </c>
      <c r="D14" s="96" t="s">
        <v>102</v>
      </c>
      <c r="E14" s="79" t="s">
        <v>50</v>
      </c>
      <c r="F14" s="79" t="s">
        <v>78</v>
      </c>
      <c r="G14" s="53" t="s">
        <v>52</v>
      </c>
      <c r="H14" s="80" t="s">
        <v>77</v>
      </c>
      <c r="I14" s="80" t="s">
        <v>77</v>
      </c>
      <c r="J14" s="81" t="s">
        <v>77</v>
      </c>
      <c r="K14" s="80" t="s">
        <v>77</v>
      </c>
      <c r="L14" s="53" t="s">
        <v>66</v>
      </c>
      <c r="M14" s="53" t="s">
        <v>95</v>
      </c>
      <c r="N14" s="53" t="s">
        <v>95</v>
      </c>
      <c r="O14" s="82" t="s">
        <v>77</v>
      </c>
    </row>
    <row r="15" spans="1:15" ht="18" customHeight="1" x14ac:dyDescent="0.2">
      <c r="A15" s="79" t="s">
        <v>56</v>
      </c>
      <c r="B15" s="78" t="s">
        <v>60</v>
      </c>
      <c r="C15" s="97" t="s">
        <v>101</v>
      </c>
      <c r="D15" s="96" t="s">
        <v>92</v>
      </c>
      <c r="E15" s="79" t="s">
        <v>50</v>
      </c>
      <c r="F15" s="79" t="s">
        <v>78</v>
      </c>
      <c r="G15" s="53" t="s">
        <v>52</v>
      </c>
      <c r="H15" s="80" t="s">
        <v>77</v>
      </c>
      <c r="I15" s="80" t="s">
        <v>77</v>
      </c>
      <c r="J15" s="81" t="s">
        <v>77</v>
      </c>
      <c r="K15" s="80" t="s">
        <v>77</v>
      </c>
      <c r="L15" s="53" t="s">
        <v>66</v>
      </c>
      <c r="M15" s="53" t="s">
        <v>95</v>
      </c>
      <c r="N15" s="53" t="s">
        <v>95</v>
      </c>
      <c r="O15" s="82" t="s">
        <v>77</v>
      </c>
    </row>
    <row r="16" spans="1:15" ht="18" customHeight="1" x14ac:dyDescent="0.2">
      <c r="A16" s="79" t="s">
        <v>85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</row>
    <row r="17" spans="1:18" ht="18" customHeight="1" x14ac:dyDescent="0.2">
      <c r="A17" s="14" t="s">
        <v>38</v>
      </c>
      <c r="B17" s="479" t="s">
        <v>87</v>
      </c>
      <c r="C17" s="479"/>
      <c r="D17" s="479"/>
      <c r="E17" s="479"/>
      <c r="F17" s="479"/>
      <c r="G17" s="479"/>
      <c r="H17" s="479"/>
      <c r="I17" s="479"/>
      <c r="J17" s="479"/>
      <c r="K17" s="479"/>
      <c r="L17" s="479"/>
      <c r="M17" s="479"/>
      <c r="N17" s="479"/>
      <c r="O17" s="479"/>
    </row>
    <row r="18" spans="1:18" ht="18" customHeight="1" x14ac:dyDescent="0.2">
      <c r="A18" s="79">
        <v>1</v>
      </c>
      <c r="B18" s="78" t="s">
        <v>99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</row>
    <row r="19" spans="1:18" ht="25.5" x14ac:dyDescent="0.2">
      <c r="A19" s="79" t="s">
        <v>55</v>
      </c>
      <c r="B19" s="78" t="s">
        <v>60</v>
      </c>
      <c r="C19" s="95" t="s">
        <v>90</v>
      </c>
      <c r="D19" s="26" t="s">
        <v>106</v>
      </c>
      <c r="E19" s="79" t="s">
        <v>50</v>
      </c>
      <c r="F19" s="79" t="s">
        <v>78</v>
      </c>
      <c r="G19" s="53" t="s">
        <v>52</v>
      </c>
      <c r="H19" s="79" t="s">
        <v>33</v>
      </c>
      <c r="I19" s="79" t="s">
        <v>33</v>
      </c>
      <c r="J19" s="79" t="s">
        <v>33</v>
      </c>
      <c r="K19" s="79" t="s">
        <v>33</v>
      </c>
      <c r="L19" s="53" t="s">
        <v>66</v>
      </c>
      <c r="M19" s="53" t="s">
        <v>95</v>
      </c>
      <c r="N19" s="53" t="s">
        <v>95</v>
      </c>
      <c r="O19" s="82" t="s">
        <v>77</v>
      </c>
    </row>
    <row r="20" spans="1:18" ht="25.5" x14ac:dyDescent="0.2">
      <c r="A20" s="79" t="s">
        <v>56</v>
      </c>
      <c r="B20" s="78" t="s">
        <v>60</v>
      </c>
      <c r="C20" s="95" t="s">
        <v>91</v>
      </c>
      <c r="D20" s="26" t="s">
        <v>106</v>
      </c>
      <c r="E20" s="79" t="s">
        <v>50</v>
      </c>
      <c r="F20" s="79" t="s">
        <v>78</v>
      </c>
      <c r="G20" s="53" t="s">
        <v>52</v>
      </c>
      <c r="H20" s="79" t="s">
        <v>33</v>
      </c>
      <c r="I20" s="79" t="s">
        <v>33</v>
      </c>
      <c r="J20" s="79" t="s">
        <v>33</v>
      </c>
      <c r="K20" s="79" t="s">
        <v>33</v>
      </c>
      <c r="L20" s="53" t="s">
        <v>66</v>
      </c>
      <c r="M20" s="53" t="s">
        <v>95</v>
      </c>
      <c r="N20" s="53" t="s">
        <v>95</v>
      </c>
      <c r="O20" s="82" t="s">
        <v>77</v>
      </c>
    </row>
    <row r="21" spans="1:18" ht="18" customHeight="1" x14ac:dyDescent="0.2">
      <c r="A21" s="79">
        <v>2</v>
      </c>
      <c r="B21" s="78" t="s">
        <v>104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</row>
    <row r="22" spans="1:18" ht="25.5" x14ac:dyDescent="0.2">
      <c r="A22" s="79" t="s">
        <v>55</v>
      </c>
      <c r="B22" s="78" t="s">
        <v>60</v>
      </c>
      <c r="C22" s="97" t="s">
        <v>100</v>
      </c>
      <c r="D22" s="26" t="s">
        <v>106</v>
      </c>
      <c r="E22" s="79" t="s">
        <v>50</v>
      </c>
      <c r="F22" s="79" t="s">
        <v>78</v>
      </c>
      <c r="G22" s="53" t="s">
        <v>52</v>
      </c>
      <c r="H22" s="79" t="s">
        <v>33</v>
      </c>
      <c r="I22" s="79" t="s">
        <v>33</v>
      </c>
      <c r="J22" s="79" t="s">
        <v>33</v>
      </c>
      <c r="K22" s="79" t="s">
        <v>33</v>
      </c>
      <c r="L22" s="53" t="s">
        <v>66</v>
      </c>
      <c r="M22" s="53" t="s">
        <v>95</v>
      </c>
      <c r="N22" s="53" t="s">
        <v>95</v>
      </c>
      <c r="O22" s="82" t="s">
        <v>77</v>
      </c>
    </row>
    <row r="23" spans="1:18" ht="25.5" x14ac:dyDescent="0.2">
      <c r="A23" s="79" t="s">
        <v>56</v>
      </c>
      <c r="B23" s="78" t="s">
        <v>60</v>
      </c>
      <c r="C23" s="97" t="s">
        <v>101</v>
      </c>
      <c r="D23" s="26" t="s">
        <v>107</v>
      </c>
      <c r="E23" s="79" t="s">
        <v>50</v>
      </c>
      <c r="F23" s="79" t="s">
        <v>78</v>
      </c>
      <c r="G23" s="53" t="s">
        <v>52</v>
      </c>
      <c r="H23" s="79" t="s">
        <v>33</v>
      </c>
      <c r="I23" s="79" t="s">
        <v>33</v>
      </c>
      <c r="J23" s="79" t="s">
        <v>33</v>
      </c>
      <c r="K23" s="79" t="s">
        <v>33</v>
      </c>
      <c r="L23" s="53" t="s">
        <v>66</v>
      </c>
      <c r="M23" s="53" t="s">
        <v>95</v>
      </c>
      <c r="N23" s="53" t="s">
        <v>95</v>
      </c>
      <c r="O23" s="82" t="s">
        <v>77</v>
      </c>
    </row>
    <row r="24" spans="1:18" ht="18" customHeight="1" x14ac:dyDescent="0.2">
      <c r="A24" s="79" t="s">
        <v>85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</row>
    <row r="25" spans="1:18" s="20" customFormat="1" ht="18" customHeight="1" x14ac:dyDescent="0.25">
      <c r="A25" s="79" t="s">
        <v>8</v>
      </c>
      <c r="B25" s="79" t="s">
        <v>9</v>
      </c>
      <c r="C25" s="79" t="s">
        <v>10</v>
      </c>
      <c r="D25" s="79" t="s">
        <v>11</v>
      </c>
      <c r="E25" s="79" t="s">
        <v>12</v>
      </c>
      <c r="F25" s="79" t="s">
        <v>13</v>
      </c>
      <c r="G25" s="79" t="s">
        <v>14</v>
      </c>
      <c r="H25" s="100" t="s">
        <v>15</v>
      </c>
      <c r="I25" s="100" t="s">
        <v>16</v>
      </c>
      <c r="J25" s="79" t="s">
        <v>17</v>
      </c>
      <c r="K25" s="79" t="s">
        <v>18</v>
      </c>
      <c r="L25" s="79" t="s">
        <v>19</v>
      </c>
      <c r="M25" s="79" t="s">
        <v>31</v>
      </c>
      <c r="N25" s="79" t="s">
        <v>32</v>
      </c>
      <c r="O25" s="79" t="s">
        <v>150</v>
      </c>
      <c r="P25" s="47" t="s">
        <v>19</v>
      </c>
      <c r="Q25" s="19"/>
      <c r="R25" s="19"/>
    </row>
    <row r="26" spans="1:18" s="20" customFormat="1" ht="18" customHeight="1" x14ac:dyDescent="0.25">
      <c r="A26" s="79"/>
      <c r="B26" s="79"/>
      <c r="C26" s="98"/>
      <c r="D26" s="101"/>
      <c r="E26" s="79"/>
      <c r="F26" s="79"/>
      <c r="G26" s="79"/>
      <c r="H26" s="100"/>
      <c r="I26" s="100"/>
      <c r="J26" s="79"/>
      <c r="K26" s="79"/>
      <c r="L26" s="79"/>
      <c r="M26" s="79"/>
      <c r="N26" s="79"/>
      <c r="O26" s="79"/>
      <c r="P26" s="32"/>
    </row>
    <row r="27" spans="1:18" ht="18" customHeight="1" x14ac:dyDescent="0.2">
      <c r="A27" s="53"/>
      <c r="B27" s="469" t="s">
        <v>151</v>
      </c>
      <c r="C27" s="377"/>
      <c r="D27" s="378"/>
      <c r="E27" s="13"/>
      <c r="F27" s="13"/>
      <c r="G27" s="53"/>
      <c r="H27" s="53"/>
      <c r="I27" s="53"/>
      <c r="J27" s="53"/>
      <c r="K27" s="53"/>
      <c r="L27" s="78"/>
      <c r="M27" s="78"/>
      <c r="N27" s="78"/>
      <c r="O27" s="78"/>
    </row>
    <row r="29" spans="1:18" x14ac:dyDescent="0.2">
      <c r="A29" s="382"/>
      <c r="B29" s="382"/>
      <c r="C29" s="382"/>
      <c r="D29" s="382"/>
      <c r="E29" s="382"/>
      <c r="F29" s="382"/>
      <c r="G29" s="382"/>
      <c r="H29" s="382"/>
      <c r="I29" s="382"/>
      <c r="J29" s="382"/>
      <c r="K29" s="382"/>
      <c r="M29" s="382"/>
      <c r="N29" s="382"/>
      <c r="O29" s="382"/>
    </row>
    <row r="30" spans="1:18" x14ac:dyDescent="0.2">
      <c r="A30" s="382"/>
      <c r="B30" s="382"/>
      <c r="C30" s="382"/>
      <c r="D30" s="382"/>
      <c r="E30" s="382"/>
      <c r="F30" s="382"/>
      <c r="G30" s="382"/>
      <c r="H30" s="382"/>
      <c r="I30" s="382"/>
      <c r="J30" s="382"/>
      <c r="K30" s="382"/>
      <c r="L30" s="382" t="s">
        <v>103</v>
      </c>
      <c r="M30" s="382"/>
      <c r="N30" s="382"/>
    </row>
    <row r="31" spans="1:18" x14ac:dyDescent="0.2">
      <c r="M31" s="382"/>
      <c r="N31" s="382"/>
      <c r="O31" s="382"/>
    </row>
    <row r="32" spans="1:18" x14ac:dyDescent="0.2">
      <c r="O32" s="9"/>
    </row>
    <row r="33" spans="1:20" x14ac:dyDescent="0.2">
      <c r="O33" s="9"/>
    </row>
    <row r="36" spans="1:20" x14ac:dyDescent="0.2">
      <c r="C36" s="9"/>
      <c r="D36" s="382"/>
      <c r="E36" s="382"/>
      <c r="F36" s="382"/>
      <c r="G36" s="382"/>
      <c r="H36" s="382"/>
      <c r="I36" s="382"/>
      <c r="J36" s="382"/>
      <c r="K36" s="382"/>
      <c r="L36" s="382" t="s">
        <v>21</v>
      </c>
      <c r="M36" s="382"/>
      <c r="N36" s="382"/>
    </row>
    <row r="37" spans="1:20" x14ac:dyDescent="0.2">
      <c r="C37" s="9"/>
      <c r="D37" s="382"/>
      <c r="E37" s="382"/>
      <c r="F37" s="382"/>
      <c r="G37" s="382"/>
      <c r="H37" s="382"/>
      <c r="I37" s="382"/>
      <c r="J37" s="382"/>
      <c r="K37" s="382"/>
      <c r="L37" s="382" t="s">
        <v>22</v>
      </c>
      <c r="M37" s="382"/>
      <c r="N37" s="382"/>
    </row>
    <row r="39" spans="1:20" x14ac:dyDescent="0.2">
      <c r="A39" s="374"/>
      <c r="B39" s="374"/>
      <c r="C39" s="374"/>
      <c r="D39" s="374"/>
      <c r="E39" s="374"/>
      <c r="F39" s="374"/>
      <c r="G39" s="374"/>
      <c r="H39" s="374"/>
      <c r="I39" s="374"/>
      <c r="J39" s="374"/>
      <c r="K39" s="374"/>
      <c r="L39" s="374"/>
      <c r="M39" s="374"/>
      <c r="N39" s="374"/>
      <c r="O39" s="374"/>
      <c r="P39" s="374"/>
      <c r="Q39" s="374"/>
      <c r="R39" s="374"/>
      <c r="S39" s="374"/>
      <c r="T39" s="374"/>
    </row>
    <row r="40" spans="1:20" x14ac:dyDescent="0.2">
      <c r="A40" s="374" t="s">
        <v>23</v>
      </c>
      <c r="B40" s="374"/>
      <c r="C40" s="374"/>
      <c r="D40" s="374"/>
      <c r="E40" s="374"/>
      <c r="F40" s="374"/>
      <c r="G40" s="374"/>
      <c r="H40" s="374"/>
      <c r="I40" s="374"/>
      <c r="J40" s="374"/>
      <c r="K40" s="374"/>
      <c r="L40" s="374"/>
      <c r="M40" s="374"/>
      <c r="N40" s="374"/>
      <c r="O40" s="374"/>
      <c r="P40" s="374"/>
      <c r="Q40" s="374"/>
      <c r="R40" s="374"/>
      <c r="S40" s="374"/>
      <c r="T40" s="374"/>
    </row>
    <row r="41" spans="1:20" x14ac:dyDescent="0.2">
      <c r="A41" s="374" t="s">
        <v>70</v>
      </c>
      <c r="B41" s="374"/>
      <c r="C41" s="374"/>
      <c r="D41" s="374"/>
      <c r="E41" s="374"/>
      <c r="F41" s="374"/>
      <c r="G41" s="374"/>
      <c r="H41" s="374"/>
      <c r="I41" s="374"/>
      <c r="J41" s="374"/>
      <c r="K41" s="374"/>
      <c r="L41" s="374"/>
      <c r="M41" s="374"/>
      <c r="N41" s="374"/>
      <c r="O41" s="374"/>
      <c r="P41" s="374"/>
      <c r="Q41" s="374"/>
      <c r="R41" s="374"/>
      <c r="S41" s="374"/>
      <c r="T41" s="374"/>
    </row>
    <row r="42" spans="1:20" x14ac:dyDescent="0.2">
      <c r="A42" s="374" t="s">
        <v>109</v>
      </c>
      <c r="B42" s="374"/>
      <c r="C42" s="374"/>
      <c r="D42" s="374"/>
      <c r="E42" s="374"/>
      <c r="F42" s="374"/>
      <c r="G42" s="374"/>
      <c r="H42" s="374"/>
      <c r="I42" s="374"/>
      <c r="J42" s="374"/>
      <c r="K42" s="374"/>
      <c r="L42" s="374"/>
      <c r="M42" s="374"/>
      <c r="N42" s="374"/>
      <c r="O42" s="374"/>
    </row>
    <row r="44" spans="1:20" ht="25.5" customHeight="1" x14ac:dyDescent="0.2">
      <c r="A44" s="480" t="s">
        <v>27</v>
      </c>
      <c r="B44" s="469" t="s">
        <v>26</v>
      </c>
      <c r="C44" s="378"/>
      <c r="D44" s="377" t="s">
        <v>110</v>
      </c>
      <c r="E44" s="377"/>
      <c r="F44" s="377"/>
      <c r="G44" s="378"/>
      <c r="H44" s="469" t="s">
        <v>0</v>
      </c>
      <c r="I44" s="377"/>
      <c r="J44" s="377"/>
      <c r="K44" s="377"/>
      <c r="L44" s="469" t="s">
        <v>29</v>
      </c>
      <c r="M44" s="378"/>
      <c r="N44" s="379" t="s">
        <v>34</v>
      </c>
      <c r="O44" s="379" t="s">
        <v>111</v>
      </c>
      <c r="R44" s="379"/>
      <c r="S44" s="379"/>
      <c r="T44" s="379"/>
    </row>
    <row r="45" spans="1:20" ht="25.5" x14ac:dyDescent="0.2">
      <c r="A45" s="481"/>
      <c r="B45" s="30" t="s">
        <v>1</v>
      </c>
      <c r="C45" s="10" t="s">
        <v>2</v>
      </c>
      <c r="D45" s="10" t="s">
        <v>2</v>
      </c>
      <c r="E45" s="2" t="s">
        <v>3</v>
      </c>
      <c r="F45" s="2" t="s">
        <v>74</v>
      </c>
      <c r="G45" s="2" t="s">
        <v>4</v>
      </c>
      <c r="H45" s="2" t="s">
        <v>5</v>
      </c>
      <c r="I45" s="2"/>
      <c r="J45" s="2" t="s">
        <v>61</v>
      </c>
      <c r="K45" s="10" t="s">
        <v>6</v>
      </c>
      <c r="L45" s="30" t="s">
        <v>3</v>
      </c>
      <c r="M45" s="10" t="s">
        <v>7</v>
      </c>
      <c r="N45" s="380"/>
      <c r="O45" s="380"/>
      <c r="R45" s="380"/>
      <c r="S45" s="380"/>
      <c r="T45" s="380"/>
    </row>
    <row r="46" spans="1:20" x14ac:dyDescent="0.2">
      <c r="A46" s="29"/>
      <c r="B46" s="3">
        <v>2</v>
      </c>
      <c r="C46" s="4">
        <v>3</v>
      </c>
      <c r="D46" s="4">
        <v>4</v>
      </c>
      <c r="E46" s="3">
        <v>5</v>
      </c>
      <c r="F46" s="3">
        <v>6</v>
      </c>
      <c r="G46" s="3">
        <v>7</v>
      </c>
      <c r="H46" s="3">
        <v>8</v>
      </c>
      <c r="I46" s="3"/>
      <c r="J46" s="3">
        <v>9</v>
      </c>
      <c r="K46" s="3">
        <v>10</v>
      </c>
      <c r="L46" s="4">
        <v>11</v>
      </c>
      <c r="M46" s="3">
        <v>12</v>
      </c>
      <c r="N46" s="4">
        <v>13</v>
      </c>
      <c r="O46" s="4">
        <v>14</v>
      </c>
      <c r="P46" s="5">
        <v>12</v>
      </c>
      <c r="Q46" s="4">
        <v>13</v>
      </c>
      <c r="R46" s="5"/>
      <c r="S46" s="4"/>
      <c r="T46" s="4"/>
    </row>
    <row r="47" spans="1:20" ht="18" customHeight="1" x14ac:dyDescent="0.2">
      <c r="A47" s="79" t="s">
        <v>37</v>
      </c>
      <c r="B47" s="482" t="s">
        <v>36</v>
      </c>
      <c r="C47" s="482"/>
      <c r="D47" s="482"/>
      <c r="E47" s="482"/>
      <c r="F47" s="482"/>
      <c r="G47" s="482"/>
      <c r="H47" s="482"/>
      <c r="I47" s="482"/>
      <c r="J47" s="482"/>
      <c r="K47" s="482"/>
      <c r="L47" s="482"/>
      <c r="M47" s="482"/>
      <c r="N47" s="482"/>
      <c r="O47" s="482"/>
      <c r="P47" s="7"/>
      <c r="Q47" s="7"/>
      <c r="R47" s="7"/>
      <c r="S47" s="7"/>
      <c r="T47" s="7"/>
    </row>
    <row r="48" spans="1:20" s="12" customFormat="1" ht="18" customHeight="1" x14ac:dyDescent="0.2">
      <c r="A48" s="79">
        <v>1</v>
      </c>
      <c r="B48" s="78" t="s">
        <v>60</v>
      </c>
      <c r="C48" s="78" t="s">
        <v>68</v>
      </c>
      <c r="D48" s="78" t="s">
        <v>115</v>
      </c>
      <c r="E48" s="79" t="s">
        <v>50</v>
      </c>
      <c r="F48" s="79" t="s">
        <v>78</v>
      </c>
      <c r="G48" s="53" t="s">
        <v>52</v>
      </c>
      <c r="H48" s="80" t="s">
        <v>77</v>
      </c>
      <c r="I48" s="80"/>
      <c r="J48" s="81" t="s">
        <v>83</v>
      </c>
      <c r="K48" s="80" t="s">
        <v>77</v>
      </c>
      <c r="L48" s="53" t="s">
        <v>66</v>
      </c>
      <c r="M48" s="53" t="s">
        <v>95</v>
      </c>
      <c r="N48" s="53" t="s">
        <v>95</v>
      </c>
      <c r="O48" s="82" t="s">
        <v>77</v>
      </c>
      <c r="P48" s="11"/>
      <c r="Q48" s="11"/>
      <c r="R48" s="11"/>
      <c r="S48" s="11"/>
      <c r="T48" s="11"/>
    </row>
    <row r="49" spans="1:20" ht="18" customHeight="1" x14ac:dyDescent="0.2">
      <c r="A49" s="79">
        <v>2</v>
      </c>
      <c r="B49" s="78" t="s">
        <v>60</v>
      </c>
      <c r="C49" s="78" t="s">
        <v>112</v>
      </c>
      <c r="D49" s="78" t="s">
        <v>115</v>
      </c>
      <c r="E49" s="79" t="s">
        <v>50</v>
      </c>
      <c r="F49" s="79" t="s">
        <v>78</v>
      </c>
      <c r="G49" s="53" t="s">
        <v>52</v>
      </c>
      <c r="H49" s="80" t="s">
        <v>77</v>
      </c>
      <c r="I49" s="80"/>
      <c r="J49" s="81" t="s">
        <v>83</v>
      </c>
      <c r="K49" s="80" t="s">
        <v>77</v>
      </c>
      <c r="L49" s="53" t="s">
        <v>66</v>
      </c>
      <c r="M49" s="53" t="s">
        <v>95</v>
      </c>
      <c r="N49" s="53" t="s">
        <v>95</v>
      </c>
      <c r="O49" s="82" t="s">
        <v>77</v>
      </c>
      <c r="P49" s="7"/>
      <c r="Q49" s="7"/>
      <c r="R49" s="7"/>
      <c r="S49" s="7"/>
      <c r="T49" s="7"/>
    </row>
    <row r="50" spans="1:20" ht="18" customHeight="1" x14ac:dyDescent="0.2">
      <c r="A50" s="79">
        <v>3</v>
      </c>
      <c r="B50" s="78" t="s">
        <v>60</v>
      </c>
      <c r="C50" s="78" t="s">
        <v>69</v>
      </c>
      <c r="D50" s="78" t="s">
        <v>115</v>
      </c>
      <c r="E50" s="79" t="s">
        <v>50</v>
      </c>
      <c r="F50" s="79" t="s">
        <v>78</v>
      </c>
      <c r="G50" s="53" t="s">
        <v>52</v>
      </c>
      <c r="H50" s="80" t="s">
        <v>77</v>
      </c>
      <c r="I50" s="80"/>
      <c r="J50" s="81" t="s">
        <v>83</v>
      </c>
      <c r="K50" s="80" t="s">
        <v>77</v>
      </c>
      <c r="L50" s="53" t="s">
        <v>66</v>
      </c>
      <c r="M50" s="53" t="s">
        <v>95</v>
      </c>
      <c r="N50" s="53" t="s">
        <v>95</v>
      </c>
      <c r="O50" s="82" t="s">
        <v>77</v>
      </c>
      <c r="P50" s="7"/>
      <c r="Q50" s="7"/>
      <c r="R50" s="7"/>
      <c r="S50" s="7"/>
      <c r="T50" s="7"/>
    </row>
    <row r="51" spans="1:20" ht="18" customHeight="1" x14ac:dyDescent="0.2">
      <c r="A51" s="79" t="s">
        <v>85</v>
      </c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"/>
      <c r="Q51" s="7"/>
      <c r="R51" s="7"/>
      <c r="S51" s="7"/>
      <c r="T51" s="7"/>
    </row>
    <row r="52" spans="1:20" ht="18" customHeight="1" x14ac:dyDescent="0.2">
      <c r="A52" s="79" t="s">
        <v>38</v>
      </c>
      <c r="B52" s="479" t="s">
        <v>87</v>
      </c>
      <c r="C52" s="479"/>
      <c r="D52" s="479"/>
      <c r="E52" s="479"/>
      <c r="F52" s="479"/>
      <c r="G52" s="479"/>
      <c r="H52" s="479"/>
      <c r="I52" s="479"/>
      <c r="J52" s="479"/>
      <c r="K52" s="479"/>
      <c r="L52" s="479"/>
      <c r="M52" s="479"/>
      <c r="N52" s="479"/>
      <c r="O52" s="479"/>
      <c r="P52" s="7"/>
      <c r="Q52" s="7"/>
      <c r="R52" s="7"/>
      <c r="S52" s="7"/>
      <c r="T52" s="7"/>
    </row>
    <row r="53" spans="1:20" ht="18" customHeight="1" x14ac:dyDescent="0.2">
      <c r="A53" s="79">
        <v>1</v>
      </c>
      <c r="B53" s="78" t="s">
        <v>60</v>
      </c>
      <c r="C53" s="78" t="s">
        <v>68</v>
      </c>
      <c r="D53" s="78" t="s">
        <v>116</v>
      </c>
      <c r="E53" s="79" t="s">
        <v>50</v>
      </c>
      <c r="F53" s="79" t="s">
        <v>76</v>
      </c>
      <c r="G53" s="53" t="s">
        <v>52</v>
      </c>
      <c r="H53" s="79" t="s">
        <v>33</v>
      </c>
      <c r="I53" s="79"/>
      <c r="J53" s="79" t="s">
        <v>33</v>
      </c>
      <c r="K53" s="79" t="s">
        <v>33</v>
      </c>
      <c r="L53" s="53" t="s">
        <v>66</v>
      </c>
      <c r="M53" s="53" t="s">
        <v>95</v>
      </c>
      <c r="N53" s="53" t="s">
        <v>95</v>
      </c>
      <c r="O53" s="82" t="s">
        <v>77</v>
      </c>
      <c r="P53" s="7"/>
      <c r="Q53" s="7"/>
      <c r="R53" s="7"/>
      <c r="S53" s="7"/>
      <c r="T53" s="7"/>
    </row>
    <row r="54" spans="1:20" ht="25.5" x14ac:dyDescent="0.2">
      <c r="A54" s="79">
        <v>2</v>
      </c>
      <c r="B54" s="78" t="s">
        <v>60</v>
      </c>
      <c r="C54" s="78" t="s">
        <v>112</v>
      </c>
      <c r="D54" s="99" t="s">
        <v>117</v>
      </c>
      <c r="E54" s="79" t="s">
        <v>50</v>
      </c>
      <c r="F54" s="79" t="s">
        <v>78</v>
      </c>
      <c r="G54" s="53" t="s">
        <v>52</v>
      </c>
      <c r="H54" s="79" t="s">
        <v>33</v>
      </c>
      <c r="I54" s="79"/>
      <c r="J54" s="79" t="s">
        <v>33</v>
      </c>
      <c r="K54" s="79" t="s">
        <v>33</v>
      </c>
      <c r="L54" s="53" t="s">
        <v>66</v>
      </c>
      <c r="M54" s="53" t="s">
        <v>95</v>
      </c>
      <c r="N54" s="53" t="s">
        <v>95</v>
      </c>
      <c r="O54" s="82" t="s">
        <v>77</v>
      </c>
      <c r="P54" s="7"/>
      <c r="Q54" s="7"/>
      <c r="R54" s="7"/>
      <c r="S54" s="7"/>
      <c r="T54" s="7"/>
    </row>
    <row r="55" spans="1:20" ht="25.5" x14ac:dyDescent="0.2">
      <c r="A55" s="79">
        <v>3</v>
      </c>
      <c r="B55" s="78" t="s">
        <v>60</v>
      </c>
      <c r="C55" s="78" t="s">
        <v>69</v>
      </c>
      <c r="D55" s="99" t="s">
        <v>118</v>
      </c>
      <c r="E55" s="79" t="s">
        <v>50</v>
      </c>
      <c r="F55" s="79" t="s">
        <v>78</v>
      </c>
      <c r="G55" s="53" t="s">
        <v>52</v>
      </c>
      <c r="H55" s="79" t="s">
        <v>33</v>
      </c>
      <c r="I55" s="79"/>
      <c r="J55" s="79" t="s">
        <v>33</v>
      </c>
      <c r="K55" s="79" t="s">
        <v>33</v>
      </c>
      <c r="L55" s="53" t="s">
        <v>66</v>
      </c>
      <c r="M55" s="53" t="s">
        <v>95</v>
      </c>
      <c r="N55" s="53" t="s">
        <v>95</v>
      </c>
      <c r="O55" s="82" t="s">
        <v>77</v>
      </c>
      <c r="P55" s="7"/>
      <c r="Q55" s="7"/>
      <c r="R55" s="7"/>
      <c r="S55" s="7"/>
      <c r="T55" s="7"/>
    </row>
    <row r="56" spans="1:20" ht="18" customHeight="1" x14ac:dyDescent="0.2">
      <c r="A56" s="79" t="s">
        <v>85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"/>
      <c r="Q56" s="7"/>
      <c r="R56" s="7"/>
      <c r="S56" s="7"/>
      <c r="T56" s="7"/>
    </row>
    <row r="57" spans="1:20" ht="15" customHeight="1" x14ac:dyDescent="0.2">
      <c r="A57" s="53"/>
      <c r="B57" s="475" t="s">
        <v>113</v>
      </c>
      <c r="C57" s="475"/>
      <c r="D57" s="475"/>
      <c r="E57" s="13"/>
      <c r="F57" s="13"/>
      <c r="G57" s="53"/>
      <c r="H57" s="53"/>
      <c r="I57" s="53"/>
      <c r="J57" s="53"/>
      <c r="K57" s="53"/>
      <c r="L57" s="78"/>
      <c r="M57" s="78"/>
      <c r="N57" s="78"/>
      <c r="O57" s="78"/>
      <c r="P57" s="8"/>
      <c r="Q57" s="8"/>
      <c r="R57" s="8"/>
      <c r="S57" s="8"/>
      <c r="T57" s="8"/>
    </row>
    <row r="59" spans="1:20" x14ac:dyDescent="0.2">
      <c r="A59" s="382"/>
      <c r="B59" s="382"/>
      <c r="C59" s="382"/>
      <c r="D59" s="382"/>
      <c r="E59" s="382"/>
      <c r="F59" s="382"/>
      <c r="G59" s="382"/>
      <c r="H59" s="382"/>
      <c r="I59" s="382"/>
      <c r="J59" s="382"/>
      <c r="K59" s="382"/>
      <c r="L59" s="382"/>
      <c r="R59" s="382"/>
      <c r="S59" s="382"/>
      <c r="T59" s="382"/>
    </row>
    <row r="60" spans="1:20" ht="15" customHeight="1" x14ac:dyDescent="0.2">
      <c r="K60" s="382" t="s">
        <v>35</v>
      </c>
      <c r="L60" s="382"/>
      <c r="M60" s="382"/>
      <c r="N60" s="382"/>
      <c r="O60" s="9"/>
      <c r="P60" s="9"/>
      <c r="Q60" s="9"/>
      <c r="R60" s="9"/>
    </row>
    <row r="61" spans="1:20" x14ac:dyDescent="0.2">
      <c r="Q61" s="9"/>
      <c r="R61" s="9"/>
      <c r="S61" s="9"/>
      <c r="T61" s="9"/>
    </row>
    <row r="63" spans="1:20" ht="15" customHeight="1" x14ac:dyDescent="0.2">
      <c r="C63" s="9"/>
      <c r="D63" s="382"/>
      <c r="E63" s="382"/>
      <c r="F63" s="382"/>
      <c r="G63" s="382"/>
      <c r="H63" s="382"/>
      <c r="I63" s="382"/>
      <c r="J63" s="382"/>
      <c r="K63" s="382"/>
      <c r="L63" s="382"/>
      <c r="M63" s="382"/>
    </row>
    <row r="64" spans="1:20" ht="15" customHeight="1" x14ac:dyDescent="0.2">
      <c r="C64" s="9"/>
      <c r="L64" s="9"/>
      <c r="M64" s="9"/>
      <c r="N64" s="382"/>
      <c r="O64" s="382"/>
      <c r="P64" s="382"/>
      <c r="Q64" s="382"/>
      <c r="R64" s="382"/>
      <c r="S64" s="382"/>
      <c r="T64" s="382"/>
    </row>
    <row r="66" spans="11:14" ht="15" customHeight="1" x14ac:dyDescent="0.2">
      <c r="K66" s="382" t="s">
        <v>2</v>
      </c>
      <c r="L66" s="382"/>
      <c r="M66" s="382"/>
      <c r="N66" s="382"/>
    </row>
    <row r="67" spans="11:14" ht="15" customHeight="1" x14ac:dyDescent="0.2">
      <c r="K67" s="382" t="s">
        <v>114</v>
      </c>
      <c r="L67" s="382"/>
      <c r="M67" s="382"/>
      <c r="N67" s="382"/>
    </row>
  </sheetData>
  <mergeCells count="50">
    <mergeCell ref="K66:N66"/>
    <mergeCell ref="K67:N67"/>
    <mergeCell ref="B57:D57"/>
    <mergeCell ref="A59:C59"/>
    <mergeCell ref="D59:L59"/>
    <mergeCell ref="K60:N60"/>
    <mergeCell ref="D63:M63"/>
    <mergeCell ref="R44:R45"/>
    <mergeCell ref="S44:S45"/>
    <mergeCell ref="T44:T45"/>
    <mergeCell ref="B47:O47"/>
    <mergeCell ref="N64:T64"/>
    <mergeCell ref="R59:T59"/>
    <mergeCell ref="B52:O52"/>
    <mergeCell ref="N44:N45"/>
    <mergeCell ref="O44:O45"/>
    <mergeCell ref="A44:A45"/>
    <mergeCell ref="B44:C44"/>
    <mergeCell ref="D44:G44"/>
    <mergeCell ref="H44:K44"/>
    <mergeCell ref="L44:M44"/>
    <mergeCell ref="A42:O42"/>
    <mergeCell ref="A30:C30"/>
    <mergeCell ref="D30:K30"/>
    <mergeCell ref="L30:N30"/>
    <mergeCell ref="M31:O31"/>
    <mergeCell ref="D36:K36"/>
    <mergeCell ref="L36:N36"/>
    <mergeCell ref="D37:K37"/>
    <mergeCell ref="L37:N37"/>
    <mergeCell ref="A39:T39"/>
    <mergeCell ref="A40:T40"/>
    <mergeCell ref="A41:T41"/>
    <mergeCell ref="B9:O9"/>
    <mergeCell ref="B17:O17"/>
    <mergeCell ref="B27:D27"/>
    <mergeCell ref="A29:C29"/>
    <mergeCell ref="D29:K29"/>
    <mergeCell ref="M29:O29"/>
    <mergeCell ref="A2:O2"/>
    <mergeCell ref="A3:O3"/>
    <mergeCell ref="A4:O4"/>
    <mergeCell ref="A5:K5"/>
    <mergeCell ref="A6:A7"/>
    <mergeCell ref="B6:C6"/>
    <mergeCell ref="D6:G6"/>
    <mergeCell ref="H6:K6"/>
    <mergeCell ref="L6:M6"/>
    <mergeCell ref="N6:N7"/>
    <mergeCell ref="O6:O7"/>
  </mergeCells>
  <phoneticPr fontId="8" type="noConversion"/>
  <pageMargins left="0.7" right="0.2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3</vt:i4>
      </vt:variant>
    </vt:vector>
  </HeadingPairs>
  <TitlesOfParts>
    <vt:vector size="32" baseType="lpstr">
      <vt:lpstr>satker q</vt:lpstr>
      <vt:lpstr>SATKER</vt:lpstr>
      <vt:lpstr>BABEK</vt:lpstr>
      <vt:lpstr>PUSKES</vt:lpstr>
      <vt:lpstr>PUSPSI</vt:lpstr>
      <vt:lpstr>BAIS</vt:lpstr>
      <vt:lpstr>MAKO AKADEMI</vt:lpstr>
      <vt:lpstr>PUSKU</vt:lpstr>
      <vt:lpstr>PUSPEN</vt:lpstr>
      <vt:lpstr>PUSDALOPS</vt:lpstr>
      <vt:lpstr>PASPAMPRES</vt:lpstr>
      <vt:lpstr>PUSJIANSTRA</vt:lpstr>
      <vt:lpstr>SETUM</vt:lpstr>
      <vt:lpstr>BABINKUM</vt:lpstr>
      <vt:lpstr>PUSBINTAL</vt:lpstr>
      <vt:lpstr>PUSKERSIN</vt:lpstr>
      <vt:lpstr>PUSPOM</vt:lpstr>
      <vt:lpstr>PUSJAS</vt:lpstr>
      <vt:lpstr>SATSIBER</vt:lpstr>
      <vt:lpstr>GARTAP I</vt:lpstr>
      <vt:lpstr>PUSINFORMAR</vt:lpstr>
      <vt:lpstr>KOGABWILHAN III</vt:lpstr>
      <vt:lpstr>REKAP LAPSIKAS</vt:lpstr>
      <vt:lpstr>WILAYAH</vt:lpstr>
      <vt:lpstr>UO</vt:lpstr>
      <vt:lpstr>KEMHAN DAN TNI</vt:lpstr>
      <vt:lpstr>CONTOH</vt:lpstr>
      <vt:lpstr>wilayah (2)</vt:lpstr>
      <vt:lpstr>UO (2)</vt:lpstr>
      <vt:lpstr>'KEMHAN DAN TNI'!Print_Area</vt:lpstr>
      <vt:lpstr>'REKAP LAPSIKAS'!Print_Area</vt:lpstr>
      <vt:lpstr>SATKER!Print_Area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REFLY</dc:creator>
  <cp:lastModifiedBy>alifiah prihutomo</cp:lastModifiedBy>
  <cp:lastPrinted>2025-09-18T03:19:25Z</cp:lastPrinted>
  <dcterms:created xsi:type="dcterms:W3CDTF">2021-06-11T02:27:35Z</dcterms:created>
  <dcterms:modified xsi:type="dcterms:W3CDTF">2025-09-22T06:56:19Z</dcterms:modified>
</cp:coreProperties>
</file>